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ZAID DATA ANALYTICS COURSE\excel\"/>
    </mc:Choice>
  </mc:AlternateContent>
  <xr:revisionPtr revIDLastSave="0" documentId="13_ncr:1_{4DDFECBC-A3C8-4D13-8642-C805AB6BD467}" xr6:coauthVersionLast="47" xr6:coauthVersionMax="47" xr10:uidLastSave="{00000000-0000-0000-0000-000000000000}"/>
  <workbookProtection workbookAlgorithmName="SHA-512" workbookHashValue="AYWkjI55gVyHpiMhRrzrOx78ksrKlPrvrbBEt4CthuC3kiOykJKDDPFlGO4GTaNrgs2rfA3cC2IpF0YS9QVMxg==" workbookSaltValue="0rB1+Na/XLG5AtDkEq/LQw==" workbookSpinCount="100000" lockStructure="1"/>
  <bookViews>
    <workbookView xWindow="-108" yWindow="-108" windowWidth="23256" windowHeight="13176" activeTab="2" xr2:uid="{7895A160-2AC7-4AB0-84BA-317651D5EB71}"/>
  </bookViews>
  <sheets>
    <sheet name="Pivot Report" sheetId="1" r:id="rId1"/>
    <sheet name="Dashboard" sheetId="2" r:id="rId2"/>
    <sheet name="Daily ER No Of patient" sheetId="3" r:id="rId3"/>
    <sheet name="Average Wait Time Daily Trend" sheetId="4" r:id="rId4"/>
    <sheet name="Satisfaction Score Daily Trends" sheetId="6" r:id="rId5"/>
  </sheets>
  <definedNames>
    <definedName name="Slicer_Date__Month">#N/A</definedName>
    <definedName name="Slicer_Date__Year">#N/A</definedName>
  </definedNames>
  <calcPr calcId="191029"/>
  <pivotCaches>
    <pivotCache cacheId="418" r:id="rId6"/>
    <pivotCache cacheId="421" r:id="rId7"/>
    <pivotCache cacheId="424" r:id="rId8"/>
    <pivotCache cacheId="427" r:id="rId9"/>
    <pivotCache cacheId="430" r:id="rId10"/>
    <pivotCache cacheId="433" r:id="rId11"/>
    <pivotCache cacheId="436" r:id="rId12"/>
    <pivotCache cacheId="439" r:id="rId13"/>
    <pivotCache cacheId="442" r:id="rId14"/>
    <pivotCache cacheId="445" r:id="rId15"/>
    <pivotCache cacheId="448" r:id="rId16"/>
    <pivotCache cacheId="45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0" i="1" l="1"/>
  <c r="N40" i="1"/>
  <c r="L40" i="1"/>
  <c r="M41" i="1"/>
  <c r="N41" i="1"/>
  <c r="L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x15:oledbPr connection="Provider=Microsoft.Mashup.OleDb.1;Data Source=$Workbook$;Location=Calendar_Table;Extended Properties=&quot;&quot;">
            <x15:dbTables>
              <x15:dbTable name="Calendar_Table"/>
            </x15:dbTables>
          </x15:oledbPr>
        </x15:connection>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<sst xmlns="http://schemas.openxmlformats.org/spreadsheetml/2006/main" count="155" uniqueCount="79">
  <si>
    <t>Distinct Count of Patient Id</t>
  </si>
  <si>
    <t>No. of patient</t>
  </si>
  <si>
    <t>Average of Patient Waittime</t>
  </si>
  <si>
    <t>Average of Patient Satisfaction Score</t>
  </si>
  <si>
    <t>Row Labels</t>
  </si>
  <si>
    <t>Grand Total</t>
  </si>
  <si>
    <t xml:space="preserve">Daily Trends No. Of Patients </t>
  </si>
  <si>
    <t>Daily Trends No. Average Wait Time</t>
  </si>
  <si>
    <t>Use An Area Sparkline To Track Daily Changes And Highlight Days With Longer Wait Times That Might Need Improvements.</t>
  </si>
  <si>
    <t>Showing A Daily Trend With An Area Sparkline To Spot Patterns Like Busy Days Or Seasonal Trends.</t>
  </si>
  <si>
    <t>Use An Area Sparkline To Show Trends, Spot Drops In Satisfaction, And Link Them To Busy Times Or Challenges.</t>
  </si>
  <si>
    <t>Satisfaction Daily Trends</t>
  </si>
  <si>
    <t>Admitted</t>
  </si>
  <si>
    <t>Not Admitted</t>
  </si>
  <si>
    <t>Count of Patient Admission Flag</t>
  </si>
  <si>
    <t>Male</t>
  </si>
  <si>
    <t>None</t>
  </si>
  <si>
    <t>60-69</t>
  </si>
  <si>
    <t>Ontime</t>
  </si>
  <si>
    <t>10-19</t>
  </si>
  <si>
    <t>Delay</t>
  </si>
  <si>
    <t>70-79</t>
  </si>
  <si>
    <t>40-49</t>
  </si>
  <si>
    <t>50-59</t>
  </si>
  <si>
    <t>0-09</t>
  </si>
  <si>
    <t>20-29</t>
  </si>
  <si>
    <t>30-39</t>
  </si>
  <si>
    <t>Female</t>
  </si>
  <si>
    <t>General Practice</t>
  </si>
  <si>
    <t>Orthopedics</t>
  </si>
  <si>
    <t>Physiotherapy</t>
  </si>
  <si>
    <t>Cardiology</t>
  </si>
  <si>
    <t>Neurology</t>
  </si>
  <si>
    <t>Gastroenterology</t>
  </si>
  <si>
    <t>Renal</t>
  </si>
  <si>
    <t>Count of Patient Admission Flag2</t>
  </si>
  <si>
    <t>Admission Status</t>
  </si>
  <si>
    <t>% Status</t>
  </si>
  <si>
    <t>Patients</t>
  </si>
  <si>
    <t>Count of Age Group</t>
  </si>
  <si>
    <t>No. Of Patient By Age Group</t>
  </si>
  <si>
    <t>Adnission Status</t>
  </si>
  <si>
    <t>Count of Patient attend Status</t>
  </si>
  <si>
    <t>Patient Attended Status</t>
  </si>
  <si>
    <t>No. Of Patients By Gender</t>
  </si>
  <si>
    <t>Count of Patient Gender</t>
  </si>
  <si>
    <t>Count of Department Referral</t>
  </si>
  <si>
    <t>No. Of Patients By Department Referral</t>
  </si>
  <si>
    <t>Year</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</si>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</sst>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font>
    <font>
      <b/>
      <sz val="10"/>
      <color theme="1"/>
      <name val="Aptos Narrow"/>
      <family val="2"/>
      <scheme val="minor"/>
    </font>
    <font>
      <b/>
      <sz val="10"/>
      <name val="Aptos Narrow"/>
      <family val="2"/>
    </font>
    <font>
      <sz val="10"/>
      <name val="Aptos Narrow"/>
      <family val="2"/>
      <scheme val="minor"/>
    </font>
    <font>
      <sz val="9"/>
      <color theme="1"/>
      <name val="Aptos Narrow"/>
      <family val="2"/>
      <scheme val="minor"/>
    </font>
    <font>
      <b/>
      <sz val="9"/>
      <color theme="0"/>
      <name val="Aptos Narrow"/>
      <family val="2"/>
      <scheme val="minor"/>
    </font>
    <font>
      <sz val="9"/>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bgColor indexed="64"/>
      </patternFill>
    </fill>
    <fill>
      <patternFill patternType="solid">
        <fgColor theme="3" tint="0.249977111117893"/>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0" fontId="4" fillId="3" borderId="0" xfId="0" applyFont="1" applyFill="1"/>
    <xf numFmtId="0" fontId="0" fillId="4" borderId="0" xfId="0" applyFill="1"/>
    <xf numFmtId="1" fontId="0" fillId="0" borderId="0" xfId="0" applyNumberFormat="1"/>
    <xf numFmtId="10" fontId="0" fillId="0" borderId="0" xfId="0" applyNumberFormat="1"/>
    <xf numFmtId="0" fontId="8" fillId="5" borderId="0" xfId="0" applyFont="1" applyFill="1" applyAlignment="1">
      <alignment horizontal="center" vertical="center"/>
    </xf>
    <xf numFmtId="0" fontId="0" fillId="5" borderId="0" xfId="0" applyFill="1" applyAlignment="1">
      <alignment horizontal="center"/>
    </xf>
    <xf numFmtId="1" fontId="0" fillId="0" borderId="0" xfId="0" applyNumberFormat="1" applyAlignment="1">
      <alignment horizontal="left" indent="23"/>
    </xf>
    <xf numFmtId="0" fontId="0" fillId="0" borderId="0" xfId="0" applyAlignment="1">
      <alignment horizontal="center"/>
    </xf>
    <xf numFmtId="0" fontId="2" fillId="0" borderId="0" xfId="0" applyFont="1" applyAlignment="1">
      <alignment horizont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wrapText="1"/>
    </xf>
    <xf numFmtId="0" fontId="6" fillId="3" borderId="0" xfId="0" applyFont="1" applyFill="1" applyAlignment="1">
      <alignment horizontal="center" vertical="center" wrapText="1"/>
    </xf>
    <xf numFmtId="0" fontId="4" fillId="3" borderId="0" xfId="0" applyFont="1" applyFill="1" applyAlignment="1">
      <alignment horizontal="center"/>
    </xf>
    <xf numFmtId="0" fontId="0" fillId="0" borderId="0" xfId="0" applyNumberFormat="1"/>
    <xf numFmtId="0" fontId="9" fillId="3" borderId="0" xfId="0" applyFont="1" applyFill="1" applyAlignment="1">
      <alignment horizontal="center" vertical="center"/>
    </xf>
    <xf numFmtId="0" fontId="7" fillId="3" borderId="0" xfId="0" applyFont="1" applyFill="1" applyAlignment="1">
      <alignment horizontal="center" vertical="center"/>
    </xf>
    <xf numFmtId="10" fontId="7" fillId="3" borderId="0" xfId="1" applyNumberFormat="1" applyFont="1" applyFill="1" applyAlignment="1">
      <alignment horizontal="center" vertical="center"/>
    </xf>
    <xf numFmtId="0" fontId="0" fillId="3" borderId="0" xfId="0" applyFill="1" applyAlignment="1">
      <alignment horizontal="center"/>
    </xf>
    <xf numFmtId="0" fontId="0" fillId="6" borderId="0" xfId="0" applyFill="1"/>
  </cellXfs>
  <cellStyles count="2">
    <cellStyle name="Normal" xfId="0" builtinId="0"/>
    <cellStyle name="Percent" xfId="1" builtinId="5"/>
  </cellStyles>
  <dxfs count="138">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sz val="10"/>
        <color theme="1"/>
      </font>
      <fill>
        <patternFill patternType="none">
          <bgColor auto="1"/>
        </patternFill>
      </fill>
      <border diagonalUp="0" diagonalDown="0">
        <left/>
        <right/>
        <top/>
        <bottom/>
        <vertical/>
        <horizontal/>
      </border>
    </dxf>
    <dxf>
      <font>
        <b/>
        <color theme="1"/>
      </font>
      <border>
        <bottom style="thin">
          <color theme="7"/>
        </bottom>
        <vertical/>
        <horizontal/>
      </border>
    </dxf>
    <dxf>
      <font>
        <color theme="1"/>
      </font>
      <fill>
        <patternFill patternType="none">
          <fgColor indexed="64"/>
          <bgColor auto="1"/>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diagonalUp="0" diagonalDown="0">
        <left/>
        <right/>
        <top/>
        <bottom/>
        <vertical/>
        <horizontal/>
      </border>
    </dxf>
    <dxf>
      <border diagonalUp="0" diagonalDown="0">
        <left/>
        <right/>
        <top/>
        <bottom/>
        <vertical/>
        <horizontal/>
      </border>
    </dxf>
    <dxf>
      <font>
        <b/>
        <color theme="1"/>
      </font>
      <border>
        <bottom style="thin">
          <color theme="5"/>
        </bottom>
        <vertical/>
        <horizontal/>
      </border>
    </dxf>
    <dxf>
      <font>
        <sz val="7"/>
        <color theme="1"/>
      </font>
      <fill>
        <patternFill>
          <fgColor theme="4"/>
          <bgColor theme="0" tint="-4.9989318521683403E-2"/>
        </patternFill>
      </fill>
      <border diagonalUp="0" diagonalDown="0">
        <left/>
        <right/>
        <top/>
        <bottom/>
        <vertical/>
        <horizontal/>
      </border>
    </dxf>
  </dxfs>
  <tableStyles count="5" defaultTableStyle="TableStyleMedium2" defaultPivotStyle="PivotStyleLight16">
    <tableStyle name="My Style" pivot="0" table="0" count="10" xr9:uid="{9C43FA0D-6204-45A1-95E1-29E71A3D0A17}">
      <tableStyleElement type="wholeTable" dxfId="137"/>
      <tableStyleElement type="headerRow" dxfId="136"/>
    </tableStyle>
    <tableStyle name="Slicer Style 1" pivot="0" table="0" count="1" xr9:uid="{F4656942-CCD4-4637-831A-58F0FB6FAC4A}">
      <tableStyleElement type="wholeTable" dxfId="135"/>
    </tableStyle>
    <tableStyle name="SlicerStyleLight786" pivot="0" table="0" count="10" xr9:uid="{B4A2E66C-0A90-41E0-921F-4A06F5C69DD7}">
      <tableStyleElement type="wholeTable" dxfId="134"/>
      <tableStyleElement type="headerRow" dxfId="133"/>
    </tableStyle>
    <tableStyle name="style" pivot="0" table="0" count="10" xr9:uid="{9530673E-27CD-413B-8181-E53C61B12CB5}">
      <tableStyleElement type="wholeTable" dxfId="132"/>
      <tableStyleElement type="headerRow" dxfId="131"/>
    </tableStyle>
    <tableStyle name="Style me" pivot="0" table="0" count="10" xr9:uid="{4020A1CF-4DD1-4664-8233-31ECE86B36F7}">
      <tableStyleElement type="wholeTable" dxfId="130"/>
      <tableStyleElement type="headerRow" dxfId="129"/>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StyleLight78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yle 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466B07F0-34D5-4B39-A7D5-585EE31BE6EE}"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9305DEFC-4621-4836-9C60-D51C27EC3A65}"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9305DEFC-4621-4836-9C60-D51C27EC3A65}"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466B07F0-34D5-4B39-A7D5-585EE31BE6EE}"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9"/>
        <c:spPr>
          <a:solidFill>
            <a:schemeClr val="accent1"/>
          </a:solidFill>
          <a:ln>
            <a:noFill/>
          </a:ln>
          <a:effectLst/>
        </c:spPr>
        <c:dLbl>
          <c:idx val="0"/>
          <c:tx>
            <c:rich>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fld id="{FB0390CC-D0F3-40A7-B433-E597A1317E52}" type="CELLRANGE">
                  <a:rPr lang="en-US"/>
                  <a:pPr>
                    <a:defRPr sz="800" b="0">
                      <a:solidFill>
                        <a:sysClr val="windowText" lastClr="000000"/>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0"/>
        <c:spPr>
          <a:solidFill>
            <a:schemeClr val="accent1"/>
          </a:solidFill>
          <a:ln>
            <a:noFill/>
          </a:ln>
          <a:effectLst/>
        </c:spPr>
        <c:dLbl>
          <c:idx val="0"/>
          <c:tx>
            <c:rich>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fld id="{4BF2F294-196B-4D74-AE7D-D7CDFCF74FA2}" type="CELLRANGE">
                  <a:rPr lang="en-US"/>
                  <a:pPr>
                    <a:defRPr sz="800" b="0">
                      <a:solidFill>
                        <a:sysClr val="windowText" lastClr="000000"/>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CBF-4F49-9530-C7B414D9E022}"/>
              </c:ext>
            </c:extLst>
          </c:dPt>
          <c:dLbls>
            <c:dLbl>
              <c:idx val="0"/>
              <c:tx>
                <c:rich>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fld id="{FB0390CC-D0F3-40A7-B433-E597A1317E52}" type="CELLRANGE">
                      <a:rPr lang="en-US"/>
                      <a:pPr>
                        <a:defRPr sz="800" b="0">
                          <a:solidFill>
                            <a:sysClr val="windowText" lastClr="000000"/>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0-CCBF-4F49-9530-C7B414D9E022}"/>
                </c:ext>
              </c:extLst>
            </c:dLbl>
            <c:dLbl>
              <c:idx val="1"/>
              <c:tx>
                <c:rich>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fld id="{4BF2F294-196B-4D74-AE7D-D7CDFCF74FA2}" type="CELLRANGE">
                      <a:rPr lang="en-US"/>
                      <a:pPr>
                        <a:defRPr sz="800" b="0">
                          <a:solidFill>
                            <a:sysClr val="windowText" lastClr="000000"/>
                          </a:solidFill>
                        </a:defRPr>
                      </a:pPr>
                      <a:t>[CELLRANGE]</a:t>
                    </a:fld>
                    <a:endParaRPr lang="en-IN"/>
                  </a:p>
                </c:rich>
              </c:tx>
              <c:spPr>
                <a:noFill/>
                <a:ln>
                  <a:noFill/>
                </a:ln>
                <a:effectLst/>
              </c:spPr>
              <c:txPr>
                <a:bodyPr rot="0" spcFirstLastPara="1" vertOverflow="overflow" horzOverflow="overflow" vert="horz" wrap="non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1-CCBF-4F49-9530-C7B414D9E022}"/>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Report'!$A$39:$A$41</c:f>
              <c:strCache>
                <c:ptCount val="2"/>
                <c:pt idx="0">
                  <c:v>Admitted</c:v>
                </c:pt>
                <c:pt idx="1">
                  <c:v>Not Admitted</c:v>
                </c:pt>
              </c:strCache>
            </c:strRef>
          </c:cat>
          <c:val>
            <c:numRef>
              <c:f>'Pivot Report'!$B$39:$B$41</c:f>
              <c:numCache>
                <c:formatCode>0</c:formatCode>
                <c:ptCount val="2"/>
                <c:pt idx="0">
                  <c:v>224</c:v>
                </c:pt>
                <c:pt idx="1">
                  <c:v>207</c:v>
                </c:pt>
              </c:numCache>
            </c:numRef>
          </c:val>
          <c:extLst>
            <c:ext xmlns:c15="http://schemas.microsoft.com/office/drawing/2012/chart" uri="{02D57815-91ED-43cb-92C2-25804820EDAC}">
              <c15:datalabelsRange>
                <c15:f>'Pivot Report'!$C$39:$C$40</c15:f>
                <c15:dlblRangeCache>
                  <c:ptCount val="2"/>
                  <c:pt idx="0">
                    <c:v>51.97%</c:v>
                  </c:pt>
                  <c:pt idx="1">
                    <c:v>48.03%</c:v>
                  </c:pt>
                </c15:dlblRangeCache>
              </c15:datalabelsRange>
            </c:ext>
            <c:ext xmlns:c16="http://schemas.microsoft.com/office/drawing/2014/chart" uri="{C3380CC4-5D6E-409C-BE32-E72D297353CC}">
              <c16:uniqueId val="{00000002-CCBF-4F49-9530-C7B414D9E022}"/>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dLbls>
            <c:delete val="1"/>
          </c:dLbls>
          <c:cat>
            <c:strRef>
              <c:f>'Pivot Report'!$A$39:$A$41</c:f>
              <c:strCache>
                <c:ptCount val="2"/>
                <c:pt idx="0">
                  <c:v>Admitted</c:v>
                </c:pt>
                <c:pt idx="1">
                  <c:v>Not Admitted</c:v>
                </c:pt>
              </c:strCache>
            </c:strRef>
          </c:cat>
          <c:val>
            <c:numRef>
              <c:f>'Pivot Report'!$C$39:$C$41</c:f>
              <c:numCache>
                <c:formatCode>0.00%</c:formatCode>
                <c:ptCount val="2"/>
                <c:pt idx="0">
                  <c:v>0.51972157772621808</c:v>
                </c:pt>
                <c:pt idx="1">
                  <c:v>0.48027842227378192</c:v>
                </c:pt>
              </c:numCache>
            </c:numRef>
          </c:val>
          <c:extLst>
            <c:ext xmlns:c16="http://schemas.microsoft.com/office/drawing/2014/chart" uri="{C3380CC4-5D6E-409C-BE32-E72D297353CC}">
              <c16:uniqueId val="{00000003-CCBF-4F49-9530-C7B414D9E022}"/>
            </c:ext>
          </c:extLst>
        </c:ser>
        <c:dLbls>
          <c:dLblPos val="outEnd"/>
          <c:showLegendKey val="0"/>
          <c:showVal val="1"/>
          <c:showCatName val="0"/>
          <c:showSerName val="0"/>
          <c:showPercent val="0"/>
          <c:showBubbleSize val="0"/>
        </c:dLbls>
        <c:gapWidth val="182"/>
        <c:axId val="1509477440"/>
        <c:axId val="1509475520"/>
      </c:barChart>
      <c:catAx>
        <c:axId val="1509477440"/>
        <c:scaling>
          <c:orientation val="minMax"/>
        </c:scaling>
        <c:delete val="1"/>
        <c:axPos val="l"/>
        <c:numFmt formatCode="General" sourceLinked="1"/>
        <c:majorTickMark val="none"/>
        <c:minorTickMark val="none"/>
        <c:tickLblPos val="nextTo"/>
        <c:crossAx val="1509475520"/>
        <c:crosses val="autoZero"/>
        <c:auto val="1"/>
        <c:lblAlgn val="ctr"/>
        <c:lblOffset val="100"/>
        <c:noMultiLvlLbl val="0"/>
      </c:catAx>
      <c:valAx>
        <c:axId val="1509475520"/>
        <c:scaling>
          <c:orientation val="minMax"/>
        </c:scaling>
        <c:delete val="1"/>
        <c:axPos val="b"/>
        <c:numFmt formatCode="0" sourceLinked="1"/>
        <c:majorTickMark val="none"/>
        <c:minorTickMark val="none"/>
        <c:tickLblPos val="nextTo"/>
        <c:crossAx val="15094774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71610859903"/>
          <c:w val="0.97514814724600973"/>
          <c:h val="0.79303380714290739"/>
        </c:manualLayout>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2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668882991398408"/>
          <c:w val="1"/>
          <c:h val="0.7233104030568891"/>
        </c:manualLayout>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0F1D-4F3A-81EE-C605585ACBBF}"/>
            </c:ext>
          </c:extLst>
        </c:ser>
        <c:dLbls>
          <c:showLegendKey val="0"/>
          <c:showVal val="0"/>
          <c:showCatName val="0"/>
          <c:showSerName val="0"/>
          <c:showPercent val="0"/>
          <c:showBubbleSize val="0"/>
        </c:dLbls>
        <c:axId val="1925033040"/>
        <c:axId val="1925033520"/>
      </c:areaChart>
      <c:catAx>
        <c:axId val="1925033040"/>
        <c:scaling>
          <c:orientation val="minMax"/>
        </c:scaling>
        <c:delete val="1"/>
        <c:axPos val="b"/>
        <c:numFmt formatCode="General" sourceLinked="1"/>
        <c:majorTickMark val="out"/>
        <c:minorTickMark val="none"/>
        <c:tickLblPos val="nextTo"/>
        <c:crossAx val="1925033520"/>
        <c:crosses val="autoZero"/>
        <c:auto val="1"/>
        <c:lblAlgn val="ctr"/>
        <c:lblOffset val="100"/>
        <c:noMultiLvlLbl val="0"/>
      </c:catAx>
      <c:valAx>
        <c:axId val="1925033520"/>
        <c:scaling>
          <c:orientation val="minMax"/>
        </c:scaling>
        <c:delete val="1"/>
        <c:axPos val="l"/>
        <c:numFmt formatCode="0.00" sourceLinked="1"/>
        <c:majorTickMark val="none"/>
        <c:minorTickMark val="none"/>
        <c:tickLblPos val="nextTo"/>
        <c:crossAx val="192503304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Report!PivotTable3</c:name>
    <c:fmtId val="3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6895260361615296"/>
          <c:w val="1"/>
          <c:h val="0.43104739638384704"/>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070D-4312-9DBA-43A0E47BBB44}"/>
            </c:ext>
          </c:extLst>
        </c:ser>
        <c:dLbls>
          <c:showLegendKey val="0"/>
          <c:showVal val="0"/>
          <c:showCatName val="0"/>
          <c:showSerName val="0"/>
          <c:showPercent val="0"/>
          <c:showBubbleSize val="0"/>
        </c:dLbls>
        <c:axId val="897128080"/>
        <c:axId val="1517240576"/>
      </c:areaChart>
      <c:catAx>
        <c:axId val="897128080"/>
        <c:scaling>
          <c:orientation val="minMax"/>
        </c:scaling>
        <c:delete val="1"/>
        <c:axPos val="b"/>
        <c:numFmt formatCode="General" sourceLinked="1"/>
        <c:majorTickMark val="out"/>
        <c:minorTickMark val="none"/>
        <c:tickLblPos val="nextTo"/>
        <c:crossAx val="1517240576"/>
        <c:crosses val="autoZero"/>
        <c:auto val="1"/>
        <c:lblAlgn val="ctr"/>
        <c:lblOffset val="100"/>
        <c:noMultiLvlLbl val="0"/>
      </c:catAx>
      <c:valAx>
        <c:axId val="1517240576"/>
        <c:scaling>
          <c:orientation val="minMax"/>
        </c:scaling>
        <c:delete val="1"/>
        <c:axPos val="l"/>
        <c:numFmt formatCode="0.00" sourceLinked="1"/>
        <c:majorTickMark val="none"/>
        <c:minorTickMark val="none"/>
        <c:tickLblPos val="nextTo"/>
        <c:crossAx val="89712808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Report'!$A$44:$A$52</c:f>
              <c:strCache>
                <c:ptCount val="8"/>
                <c:pt idx="0">
                  <c:v>0-09</c:v>
                </c:pt>
                <c:pt idx="1">
                  <c:v>10-19</c:v>
                </c:pt>
                <c:pt idx="2">
                  <c:v>20-29</c:v>
                </c:pt>
                <c:pt idx="3">
                  <c:v>30-39</c:v>
                </c:pt>
                <c:pt idx="4">
                  <c:v>40-49</c:v>
                </c:pt>
                <c:pt idx="5">
                  <c:v>50-59</c:v>
                </c:pt>
                <c:pt idx="6">
                  <c:v>60-69</c:v>
                </c:pt>
                <c:pt idx="7">
                  <c:v>70-79</c:v>
                </c:pt>
              </c:strCache>
            </c:strRef>
          </c:cat>
          <c:val>
            <c:numRef>
              <c:f>'Pivot Report'!$B$44:$B$52</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0439-43B3-820B-1488712BE453}"/>
            </c:ext>
          </c:extLst>
        </c:ser>
        <c:dLbls>
          <c:dLblPos val="outEnd"/>
          <c:showLegendKey val="0"/>
          <c:showVal val="1"/>
          <c:showCatName val="0"/>
          <c:showSerName val="0"/>
          <c:showPercent val="0"/>
          <c:showBubbleSize val="0"/>
        </c:dLbls>
        <c:gapWidth val="100"/>
        <c:overlap val="-24"/>
        <c:axId val="1393932864"/>
        <c:axId val="1393930944"/>
      </c:barChart>
      <c:catAx>
        <c:axId val="1393932864"/>
        <c:scaling>
          <c:orientation val="minMax"/>
        </c:scaling>
        <c:delete val="1"/>
        <c:axPos val="b"/>
        <c:numFmt formatCode="General" sourceLinked="1"/>
        <c:majorTickMark val="none"/>
        <c:minorTickMark val="none"/>
        <c:tickLblPos val="nextTo"/>
        <c:crossAx val="1393930944"/>
        <c:crosses val="autoZero"/>
        <c:auto val="1"/>
        <c:lblAlgn val="ctr"/>
        <c:lblOffset val="100"/>
        <c:noMultiLvlLbl val="0"/>
      </c:catAx>
      <c:valAx>
        <c:axId val="1393930944"/>
        <c:scaling>
          <c:orientation val="minMax"/>
        </c:scaling>
        <c:delete val="1"/>
        <c:axPos val="l"/>
        <c:numFmt formatCode="0" sourceLinked="1"/>
        <c:majorTickMark val="none"/>
        <c:minorTickMark val="none"/>
        <c:tickLblPos val="nextTo"/>
        <c:crossAx val="139393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BF5AC6DB-FB2C-4D3D-93CC-4243CEFA2A6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3BAC224D-A073-41A8-8487-D1438A79394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188310185185185"/>
          <c:y val="0.13599625983300367"/>
          <c:w val="0.62885358796296298"/>
          <c:h val="0.71959740227919733"/>
        </c:manualLayout>
      </c:layout>
      <c:pieChart>
        <c:varyColors val="1"/>
        <c:ser>
          <c:idx val="0"/>
          <c:order val="0"/>
          <c:tx>
            <c:strRef>
              <c:f>'Pivot Report'!$B$55</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A7-411F-8382-0CA0B04170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A7-411F-8382-0CA0B041700F}"/>
              </c:ext>
            </c:extLst>
          </c:dPt>
          <c:dLbls>
            <c:dLbl>
              <c:idx val="0"/>
              <c:tx>
                <c:rich>
                  <a:bodyPr/>
                  <a:lstStyle/>
                  <a:p>
                    <a:r>
                      <a:rPr lang="en-US" baseline="0"/>
                      <a:t> </a:t>
                    </a:r>
                    <a:fld id="{BF5AC6DB-FB2C-4D3D-93CC-4243CEFA2A6A}"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1A7-411F-8382-0CA0B041700F}"/>
                </c:ext>
              </c:extLst>
            </c:dLbl>
            <c:dLbl>
              <c:idx val="1"/>
              <c:tx>
                <c:rich>
                  <a:bodyPr/>
                  <a:lstStyle/>
                  <a:p>
                    <a:r>
                      <a:rPr lang="en-US" baseline="0"/>
                      <a:t> </a:t>
                    </a:r>
                    <a:fld id="{3BAC224D-A073-41A8-8487-D1438A79394B}"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1A7-411F-8382-0CA0B04170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Report'!$A$56:$A$58</c:f>
              <c:strCache>
                <c:ptCount val="2"/>
                <c:pt idx="0">
                  <c:v>Delay</c:v>
                </c:pt>
                <c:pt idx="1">
                  <c:v>Ontime</c:v>
                </c:pt>
              </c:strCache>
            </c:strRef>
          </c:cat>
          <c:val>
            <c:numRef>
              <c:f>'Pivot Report'!$B$56:$B$58</c:f>
              <c:numCache>
                <c:formatCode>0</c:formatCode>
                <c:ptCount val="2"/>
                <c:pt idx="0">
                  <c:v>283</c:v>
                </c:pt>
                <c:pt idx="1">
                  <c:v>148</c:v>
                </c:pt>
              </c:numCache>
            </c:numRef>
          </c:val>
          <c:extLst>
            <c:ext xmlns:c16="http://schemas.microsoft.com/office/drawing/2014/chart" uri="{C3380CC4-5D6E-409C-BE32-E72D297353CC}">
              <c16:uniqueId val="{00000004-01A7-411F-8382-0CA0B041700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
          <c:y val="2.1675486211776368E-2"/>
          <c:w val="0.98896585648148161"/>
          <c:h val="8.2000247666865561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Report!PivotTable11</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692303673765064"/>
          <c:y val="0.13951405520326565"/>
          <c:w val="0.65712570880952503"/>
          <c:h val="0.74608171749351182"/>
        </c:manualLayout>
      </c:layout>
      <c:doughnutChart>
        <c:varyColors val="1"/>
        <c:ser>
          <c:idx val="0"/>
          <c:order val="0"/>
          <c:tx>
            <c:strRef>
              <c:f>'Pivot Report'!$B$61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1F-44A2-920B-7183F6F8994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1F-44A2-920B-7183F6F899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Female</c:v>
                </c:pt>
                <c:pt idx="1">
                  <c:v>Male</c:v>
                </c:pt>
              </c:strCache>
            </c:strRef>
          </c:cat>
          <c:val>
            <c:numRef>
              <c:f>'Pivot Report'!$B$62:$B$64</c:f>
              <c:numCache>
                <c:formatCode>0</c:formatCode>
                <c:ptCount val="2"/>
                <c:pt idx="0">
                  <c:v>194</c:v>
                </c:pt>
                <c:pt idx="1">
                  <c:v>237</c:v>
                </c:pt>
              </c:numCache>
            </c:numRef>
          </c:val>
          <c:extLst>
            <c:ext xmlns:c16="http://schemas.microsoft.com/office/drawing/2014/chart" uri="{C3380CC4-5D6E-409C-BE32-E72D297353CC}">
              <c16:uniqueId val="{00000004-7C1F-44A2-920B-7183F6F8994D}"/>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7.9290311083868789E-3"/>
          <c:y val="1.5601295395861553E-2"/>
          <c:w val="0.97732738249680884"/>
          <c:h val="0.1065320665869268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Report!PivotTable12</c:name>
    <c:fmtId val="3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Report'!$A$68:$A$76</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Report'!$B$68:$B$76</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9749-400F-B9E6-AB5403AD0D9D}"/>
            </c:ext>
          </c:extLst>
        </c:ser>
        <c:dLbls>
          <c:dLblPos val="inEnd"/>
          <c:showLegendKey val="0"/>
          <c:showVal val="1"/>
          <c:showCatName val="0"/>
          <c:showSerName val="0"/>
          <c:showPercent val="0"/>
          <c:showBubbleSize val="0"/>
        </c:dLbls>
        <c:gapWidth val="100"/>
        <c:axId val="2108072800"/>
        <c:axId val="2108074720"/>
      </c:barChart>
      <c:catAx>
        <c:axId val="21080728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2108074720"/>
        <c:crosses val="autoZero"/>
        <c:auto val="1"/>
        <c:lblAlgn val="ctr"/>
        <c:lblOffset val="100"/>
        <c:noMultiLvlLbl val="0"/>
      </c:catAx>
      <c:valAx>
        <c:axId val="2108074720"/>
        <c:scaling>
          <c:orientation val="minMax"/>
        </c:scaling>
        <c:delete val="1"/>
        <c:axPos val="b"/>
        <c:numFmt formatCode="0" sourceLinked="1"/>
        <c:majorTickMark val="none"/>
        <c:minorTickMark val="none"/>
        <c:tickLblPos val="nextTo"/>
        <c:crossAx val="21080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37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668882991398408"/>
          <c:w val="1"/>
          <c:h val="0.7233104030568891"/>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F138-452C-A7C0-566CA2E19D5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5033040"/>
        <c:axId val="1925033520"/>
      </c:areaChart>
      <c:catAx>
        <c:axId val="1925033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925033520"/>
        <c:crosses val="autoZero"/>
        <c:auto val="1"/>
        <c:lblAlgn val="ctr"/>
        <c:lblOffset val="100"/>
        <c:noMultiLvlLbl val="0"/>
      </c:catAx>
      <c:valAx>
        <c:axId val="1925033520"/>
        <c:scaling>
          <c:orientation val="minMax"/>
        </c:scaling>
        <c:delete val="1"/>
        <c:axPos val="l"/>
        <c:numFmt formatCode="0.00" sourceLinked="1"/>
        <c:majorTickMark val="out"/>
        <c:minorTickMark val="none"/>
        <c:tickLblPos val="nextTo"/>
        <c:crossAx val="19250330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2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668882991398408"/>
          <c:w val="1"/>
          <c:h val="0.7233104030568891"/>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F585-464A-8448-A39F00BB96E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5033040"/>
        <c:axId val="1925033520"/>
      </c:areaChart>
      <c:catAx>
        <c:axId val="1925033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925033520"/>
        <c:crosses val="autoZero"/>
        <c:auto val="1"/>
        <c:lblAlgn val="ctr"/>
        <c:lblOffset val="100"/>
        <c:noMultiLvlLbl val="0"/>
      </c:catAx>
      <c:valAx>
        <c:axId val="1925033520"/>
        <c:scaling>
          <c:orientation val="minMax"/>
        </c:scaling>
        <c:delete val="1"/>
        <c:axPos val="l"/>
        <c:numFmt formatCode="0.00" sourceLinked="1"/>
        <c:majorTickMark val="out"/>
        <c:minorTickMark val="none"/>
        <c:tickLblPos val="nextTo"/>
        <c:crossAx val="19250330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Report!PivotTable3</c:name>
    <c:fmtId val="37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B34D-41FE-877B-3A946EDC17B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97128080"/>
        <c:axId val="1517240576"/>
      </c:areaChart>
      <c:catAx>
        <c:axId val="8971280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517240576"/>
        <c:crosses val="autoZero"/>
        <c:auto val="1"/>
        <c:lblAlgn val="ctr"/>
        <c:lblOffset val="100"/>
        <c:noMultiLvlLbl val="0"/>
      </c:catAx>
      <c:valAx>
        <c:axId val="1517240576"/>
        <c:scaling>
          <c:orientation val="minMax"/>
        </c:scaling>
        <c:delete val="1"/>
        <c:axPos val="l"/>
        <c:numFmt formatCode="0.00" sourceLinked="1"/>
        <c:majorTickMark val="out"/>
        <c:minorTickMark val="none"/>
        <c:tickLblPos val="nextTo"/>
        <c:crossAx val="897128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Daily ER 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1.sv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14</xdr:col>
      <xdr:colOff>0</xdr:colOff>
      <xdr:row>38</xdr:row>
      <xdr:rowOff>1</xdr:rowOff>
    </xdr:from>
    <xdr:to>
      <xdr:col>15</xdr:col>
      <xdr:colOff>0</xdr:colOff>
      <xdr:row>41</xdr:row>
      <xdr:rowOff>183931</xdr:rowOff>
    </xdr:to>
    <xdr:graphicFrame macro="">
      <xdr:nvGraphicFramePr>
        <xdr:cNvPr id="5" name="Chart 4">
          <a:extLst>
            <a:ext uri="{FF2B5EF4-FFF2-40B4-BE49-F238E27FC236}">
              <a16:creationId xmlns:a16="http://schemas.microsoft.com/office/drawing/2014/main" id="{AD69C0F0-36B2-4623-8EC6-76D7A10B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53009</xdr:colOff>
      <xdr:row>0</xdr:row>
      <xdr:rowOff>60960</xdr:rowOff>
    </xdr:from>
    <xdr:to>
      <xdr:col>13</xdr:col>
      <xdr:colOff>576470</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3009" y="60960"/>
          <a:ext cx="8448261" cy="499985"/>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19</xdr:row>
      <xdr:rowOff>119270</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17549"/>
          <a:ext cx="679268" cy="3026799"/>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169370</xdr:colOff>
      <xdr:row>6</xdr:row>
      <xdr:rowOff>3020</xdr:rowOff>
    </xdr:from>
    <xdr:to>
      <xdr:col>3</xdr:col>
      <xdr:colOff>74091</xdr:colOff>
      <xdr:row>10</xdr:row>
      <xdr:rowOff>88899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78970" y="1116203"/>
          <a:ext cx="1123921" cy="8280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163554</xdr:colOff>
      <xdr:row>15</xdr:row>
      <xdr:rowOff>35044</xdr:rowOff>
    </xdr:from>
    <xdr:to>
      <xdr:col>3</xdr:col>
      <xdr:colOff>68275</xdr:colOff>
      <xdr:row>19</xdr:row>
      <xdr:rowOff>120923</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773154" y="2818001"/>
          <a:ext cx="1123921" cy="8280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163554</xdr:colOff>
      <xdr:row>3</xdr:row>
      <xdr:rowOff>33130</xdr:rowOff>
    </xdr:from>
    <xdr:to>
      <xdr:col>3</xdr:col>
      <xdr:colOff>68275</xdr:colOff>
      <xdr:row>5</xdr:row>
      <xdr:rowOff>159026</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773154" y="589721"/>
          <a:ext cx="1123921" cy="496957"/>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59634</xdr:colOff>
      <xdr:row>1</xdr:row>
      <xdr:rowOff>0</xdr:rowOff>
    </xdr:from>
    <xdr:to>
      <xdr:col>13</xdr:col>
      <xdr:colOff>563836</xdr:colOff>
      <xdr:row>2</xdr:row>
      <xdr:rowOff>67965</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59634" y="185530"/>
          <a:ext cx="8429002" cy="25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1">
              <a:solidFill>
                <a:schemeClr val="dk1"/>
              </a:solidFill>
              <a:effectLst/>
              <a:latin typeface="+mn-lt"/>
              <a:ea typeface="+mn-ea"/>
              <a:cs typeface="+mn-cs"/>
            </a:rPr>
            <a:t>Hospital Emergency Room</a:t>
          </a:r>
          <a:r>
            <a:rPr lang="en-IN" sz="2000" b="1" baseline="0">
              <a:solidFill>
                <a:schemeClr val="dk1"/>
              </a:solidFill>
              <a:effectLst/>
              <a:latin typeface="+mn-lt"/>
              <a:ea typeface="+mn-ea"/>
              <a:cs typeface="+mn-cs"/>
            </a:rPr>
            <a:t> </a:t>
          </a:r>
          <a:r>
            <a:rPr lang="en-IN" sz="2000" b="1">
              <a:solidFill>
                <a:schemeClr val="dk1"/>
              </a:solidFill>
              <a:effectLst/>
              <a:latin typeface="+mn-lt"/>
              <a:ea typeface="+mn-ea"/>
              <a:cs typeface="+mn-cs"/>
            </a:rPr>
            <a:t>Dashboard: Monthly Insights</a:t>
          </a:r>
          <a:endParaRPr lang="en-IN" sz="2400">
            <a:effectLst/>
          </a:endParaRPr>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46545"/>
        </a:xfrm>
        <a:prstGeom prst="rect">
          <a:avLst/>
        </a:prstGeom>
      </xdr:spPr>
    </xdr:pic>
    <xdr:clientData/>
  </xdr:twoCellAnchor>
  <xdr:twoCellAnchor editAs="oneCell">
    <xdr:from>
      <xdr:col>0</xdr:col>
      <xdr:colOff>59634</xdr:colOff>
      <xdr:row>3</xdr:row>
      <xdr:rowOff>33131</xdr:rowOff>
    </xdr:from>
    <xdr:to>
      <xdr:col>1</xdr:col>
      <xdr:colOff>125895</xdr:colOff>
      <xdr:row>19</xdr:row>
      <xdr:rowOff>112644</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9634" y="589722"/>
              <a:ext cx="675861"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143502</xdr:colOff>
      <xdr:row>7</xdr:row>
      <xdr:rowOff>108291</xdr:rowOff>
    </xdr:from>
    <xdr:to>
      <xdr:col>3</xdr:col>
      <xdr:colOff>72887</xdr:colOff>
      <xdr:row>10</xdr:row>
      <xdr:rowOff>92766</xdr:rowOff>
    </xdr:to>
    <xdr:graphicFrame macro="">
      <xdr:nvGraphicFramePr>
        <xdr:cNvPr id="49" name="Chart 48">
          <a:hlinkClick xmlns:r="http://schemas.openxmlformats.org/officeDocument/2006/relationships" r:id="rId2"/>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166462</xdr:colOff>
      <xdr:row>10</xdr:row>
      <xdr:rowOff>111798</xdr:rowOff>
    </xdr:from>
    <xdr:to>
      <xdr:col>3</xdr:col>
      <xdr:colOff>71183</xdr:colOff>
      <xdr:row>15</xdr:row>
      <xdr:rowOff>12145</xdr:rowOff>
    </xdr:to>
    <xdr:sp macro="" textlink="">
      <xdr:nvSpPr>
        <xdr:cNvPr id="3" name="Rectangle: Rounded Corners 2">
          <a:extLst>
            <a:ext uri="{FF2B5EF4-FFF2-40B4-BE49-F238E27FC236}">
              <a16:creationId xmlns:a16="http://schemas.microsoft.com/office/drawing/2014/main" id="{5ECB2563-5414-C83D-98EC-8E6BF7C7422A}"/>
            </a:ext>
          </a:extLst>
        </xdr:cNvPr>
        <xdr:cNvSpPr/>
      </xdr:nvSpPr>
      <xdr:spPr>
        <a:xfrm>
          <a:off x="776062" y="1967102"/>
          <a:ext cx="1123921" cy="8280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1</xdr:col>
      <xdr:colOff>169095</xdr:colOff>
      <xdr:row>6</xdr:row>
      <xdr:rowOff>7952</xdr:rowOff>
    </xdr:from>
    <xdr:to>
      <xdr:col>1</xdr:col>
      <xdr:colOff>385095</xdr:colOff>
      <xdr:row>6</xdr:row>
      <xdr:rowOff>163248</xdr:rowOff>
    </xdr:to>
    <xdr:pic>
      <xdr:nvPicPr>
        <xdr:cNvPr id="11" name="Graphic 10" descr="Male profile with solid fill">
          <a:extLst>
            <a:ext uri="{FF2B5EF4-FFF2-40B4-BE49-F238E27FC236}">
              <a16:creationId xmlns:a16="http://schemas.microsoft.com/office/drawing/2014/main" id="{233D1D10-CCBD-451C-B903-5C5C9EC999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78695" y="1121135"/>
          <a:ext cx="216000" cy="155296"/>
        </a:xfrm>
        <a:prstGeom prst="rect">
          <a:avLst/>
        </a:prstGeom>
      </xdr:spPr>
    </xdr:pic>
    <xdr:clientData/>
  </xdr:twoCellAnchor>
  <xdr:twoCellAnchor editAs="oneCell">
    <xdr:from>
      <xdr:col>1</xdr:col>
      <xdr:colOff>163003</xdr:colOff>
      <xdr:row>10</xdr:row>
      <xdr:rowOff>127221</xdr:rowOff>
    </xdr:from>
    <xdr:to>
      <xdr:col>1</xdr:col>
      <xdr:colOff>350203</xdr:colOff>
      <xdr:row>11</xdr:row>
      <xdr:rowOff>131604</xdr:rowOff>
    </xdr:to>
    <xdr:pic>
      <xdr:nvPicPr>
        <xdr:cNvPr id="14" name="Graphic 13" descr="Hourglass Full with solid fill">
          <a:extLst>
            <a:ext uri="{FF2B5EF4-FFF2-40B4-BE49-F238E27FC236}">
              <a16:creationId xmlns:a16="http://schemas.microsoft.com/office/drawing/2014/main" id="{ED622ACA-C9B1-4E4D-948B-6E0C634A98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72603" y="1982525"/>
          <a:ext cx="187200" cy="189914"/>
        </a:xfrm>
        <a:prstGeom prst="rect">
          <a:avLst/>
        </a:prstGeom>
      </xdr:spPr>
    </xdr:pic>
    <xdr:clientData/>
  </xdr:twoCellAnchor>
  <xdr:twoCellAnchor editAs="oneCell">
    <xdr:from>
      <xdr:col>1</xdr:col>
      <xdr:colOff>166049</xdr:colOff>
      <xdr:row>15</xdr:row>
      <xdr:rowOff>41080</xdr:rowOff>
    </xdr:from>
    <xdr:to>
      <xdr:col>1</xdr:col>
      <xdr:colOff>400049</xdr:colOff>
      <xdr:row>16</xdr:row>
      <xdr:rowOff>92238</xdr:rowOff>
    </xdr:to>
    <xdr:pic>
      <xdr:nvPicPr>
        <xdr:cNvPr id="15" name="Graphic 14" descr="Rating with solid fill">
          <a:extLst>
            <a:ext uri="{FF2B5EF4-FFF2-40B4-BE49-F238E27FC236}">
              <a16:creationId xmlns:a16="http://schemas.microsoft.com/office/drawing/2014/main" id="{6CA911F7-A5AD-4B90-8FE2-B65FE0D39EF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75649" y="2824037"/>
          <a:ext cx="234000" cy="236688"/>
        </a:xfrm>
        <a:prstGeom prst="rect">
          <a:avLst/>
        </a:prstGeom>
      </xdr:spPr>
    </xdr:pic>
    <xdr:clientData/>
  </xdr:twoCellAnchor>
  <xdr:twoCellAnchor editAs="absolute">
    <xdr:from>
      <xdr:col>1</xdr:col>
      <xdr:colOff>169095</xdr:colOff>
      <xdr:row>6</xdr:row>
      <xdr:rowOff>153724</xdr:rowOff>
    </xdr:from>
    <xdr:to>
      <xdr:col>3</xdr:col>
      <xdr:colOff>82010</xdr:colOff>
      <xdr:row>7</xdr:row>
      <xdr:rowOff>114335</xdr:rowOff>
    </xdr:to>
    <xdr:sp macro="" textlink="'Pivot Report'!A5">
      <xdr:nvSpPr>
        <xdr:cNvPr id="17" name="TextBox 16">
          <a:extLst>
            <a:ext uri="{FF2B5EF4-FFF2-40B4-BE49-F238E27FC236}">
              <a16:creationId xmlns:a16="http://schemas.microsoft.com/office/drawing/2014/main" id="{E40806FF-2870-4930-8D87-93251B80E82B}"/>
            </a:ext>
          </a:extLst>
        </xdr:cNvPr>
        <xdr:cNvSpPr txBox="1"/>
      </xdr:nvSpPr>
      <xdr:spPr>
        <a:xfrm>
          <a:off x="778695" y="1266907"/>
          <a:ext cx="1132115" cy="14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C48D3B9-FA22-4C57-88BD-90AB7F1A9229}" type="TxLink">
            <a:rPr lang="en-US" sz="1100" b="0" i="0" u="none" strike="noStrike" kern="1200">
              <a:solidFill>
                <a:srgbClr val="000000"/>
              </a:solidFill>
              <a:latin typeface="Aptos Narrow"/>
              <a:ea typeface="Calibri"/>
              <a:cs typeface="Calibri"/>
            </a:rPr>
            <a:pPr algn="ctr"/>
            <a:t>431</a:t>
          </a:fld>
          <a:endParaRPr lang="en-US" sz="1100" b="0" i="0" u="none" strike="noStrike" kern="1200">
            <a:solidFill>
              <a:srgbClr val="000000"/>
            </a:solidFill>
            <a:latin typeface="Aptos Narrow"/>
          </a:endParaRPr>
        </a:p>
      </xdr:txBody>
    </xdr:sp>
    <xdr:clientData/>
  </xdr:twoCellAnchor>
  <xdr:twoCellAnchor editAs="absolute">
    <xdr:from>
      <xdr:col>1</xdr:col>
      <xdr:colOff>149217</xdr:colOff>
      <xdr:row>7</xdr:row>
      <xdr:rowOff>113966</xdr:rowOff>
    </xdr:from>
    <xdr:to>
      <xdr:col>3</xdr:col>
      <xdr:colOff>62132</xdr:colOff>
      <xdr:row>8</xdr:row>
      <xdr:rowOff>102100</xdr:rowOff>
    </xdr:to>
    <xdr:sp macro="" textlink="">
      <xdr:nvSpPr>
        <xdr:cNvPr id="20" name="TextBox 19">
          <a:extLst>
            <a:ext uri="{FF2B5EF4-FFF2-40B4-BE49-F238E27FC236}">
              <a16:creationId xmlns:a16="http://schemas.microsoft.com/office/drawing/2014/main" id="{26537CCE-6C02-4610-832D-F906CCB002FC}"/>
            </a:ext>
          </a:extLst>
        </xdr:cNvPr>
        <xdr:cNvSpPr txBox="1"/>
      </xdr:nvSpPr>
      <xdr:spPr>
        <a:xfrm>
          <a:off x="758817" y="1412679"/>
          <a:ext cx="1132115" cy="173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kern="1200"/>
            <a:t>No. of Patient</a:t>
          </a:r>
        </a:p>
      </xdr:txBody>
    </xdr:sp>
    <xdr:clientData/>
  </xdr:twoCellAnchor>
  <xdr:twoCellAnchor editAs="absolute">
    <xdr:from>
      <xdr:col>1</xdr:col>
      <xdr:colOff>163003</xdr:colOff>
      <xdr:row>11</xdr:row>
      <xdr:rowOff>113966</xdr:rowOff>
    </xdr:from>
    <xdr:to>
      <xdr:col>3</xdr:col>
      <xdr:colOff>75918</xdr:colOff>
      <xdr:row>12</xdr:row>
      <xdr:rowOff>79133</xdr:rowOff>
    </xdr:to>
    <xdr:sp macro="" textlink="'Pivot Report'!A9">
      <xdr:nvSpPr>
        <xdr:cNvPr id="21" name="TextBox 20">
          <a:extLst>
            <a:ext uri="{FF2B5EF4-FFF2-40B4-BE49-F238E27FC236}">
              <a16:creationId xmlns:a16="http://schemas.microsoft.com/office/drawing/2014/main" id="{68A4DC80-F015-4A8B-8B1D-A137FD9E1185}"/>
            </a:ext>
          </a:extLst>
        </xdr:cNvPr>
        <xdr:cNvSpPr txBox="1"/>
      </xdr:nvSpPr>
      <xdr:spPr>
        <a:xfrm>
          <a:off x="772603" y="2154801"/>
          <a:ext cx="1132115" cy="15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A150FCD-EC68-4022-B61D-4E09E35F0898}" type="TxLink">
            <a:rPr lang="en-US" sz="1100" b="0" i="0" u="none" strike="noStrike" kern="1200">
              <a:solidFill>
                <a:srgbClr val="000000"/>
              </a:solidFill>
              <a:latin typeface="Aptos Narrow"/>
            </a:rPr>
            <a:pPr algn="ctr"/>
            <a:t>36.67</a:t>
          </a:fld>
          <a:endParaRPr lang="en-IN" sz="900" kern="1200"/>
        </a:p>
      </xdr:txBody>
    </xdr:sp>
    <xdr:clientData/>
  </xdr:twoCellAnchor>
  <xdr:twoCellAnchor editAs="absolute">
    <xdr:from>
      <xdr:col>1</xdr:col>
      <xdr:colOff>163003</xdr:colOff>
      <xdr:row>12</xdr:row>
      <xdr:rowOff>67585</xdr:rowOff>
    </xdr:from>
    <xdr:to>
      <xdr:col>3</xdr:col>
      <xdr:colOff>75918</xdr:colOff>
      <xdr:row>13</xdr:row>
      <xdr:rowOff>32750</xdr:rowOff>
    </xdr:to>
    <xdr:sp macro="" textlink="">
      <xdr:nvSpPr>
        <xdr:cNvPr id="24" name="TextBox 23">
          <a:extLst>
            <a:ext uri="{FF2B5EF4-FFF2-40B4-BE49-F238E27FC236}">
              <a16:creationId xmlns:a16="http://schemas.microsoft.com/office/drawing/2014/main" id="{1DF6FCAA-4CF4-4686-82B4-9B609431A2FE}"/>
            </a:ext>
          </a:extLst>
        </xdr:cNvPr>
        <xdr:cNvSpPr txBox="1"/>
      </xdr:nvSpPr>
      <xdr:spPr>
        <a:xfrm>
          <a:off x="772603" y="2293950"/>
          <a:ext cx="1132115" cy="15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kern="1200"/>
            <a:t>Average Wait Time</a:t>
          </a:r>
        </a:p>
      </xdr:txBody>
    </xdr:sp>
    <xdr:clientData/>
  </xdr:twoCellAnchor>
  <xdr:twoCellAnchor editAs="absolute">
    <xdr:from>
      <xdr:col>1</xdr:col>
      <xdr:colOff>166049</xdr:colOff>
      <xdr:row>16</xdr:row>
      <xdr:rowOff>54330</xdr:rowOff>
    </xdr:from>
    <xdr:to>
      <xdr:col>3</xdr:col>
      <xdr:colOff>78964</xdr:colOff>
      <xdr:row>17</xdr:row>
      <xdr:rowOff>19497</xdr:rowOff>
    </xdr:to>
    <xdr:sp macro="" textlink="'Pivot Report'!A12">
      <xdr:nvSpPr>
        <xdr:cNvPr id="26" name="TextBox 25">
          <a:extLst>
            <a:ext uri="{FF2B5EF4-FFF2-40B4-BE49-F238E27FC236}">
              <a16:creationId xmlns:a16="http://schemas.microsoft.com/office/drawing/2014/main" id="{A6B5DCB7-B59A-40EE-8CFA-28EF22A24B4E}"/>
            </a:ext>
          </a:extLst>
        </xdr:cNvPr>
        <xdr:cNvSpPr txBox="1"/>
      </xdr:nvSpPr>
      <xdr:spPr>
        <a:xfrm>
          <a:off x="775649" y="3022817"/>
          <a:ext cx="1132115" cy="150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A629C56-8528-4884-9D78-7C01F4552AA4}" type="TxLink">
            <a:rPr lang="en-US" sz="1100" b="0" i="0" u="none" strike="noStrike" kern="1200">
              <a:solidFill>
                <a:srgbClr val="000000"/>
              </a:solidFill>
              <a:latin typeface="Aptos Narrow"/>
            </a:rPr>
            <a:pPr algn="ctr"/>
            <a:t>4.72</a:t>
          </a:fld>
          <a:endParaRPr lang="en-IN" sz="900" kern="1200"/>
        </a:p>
      </xdr:txBody>
    </xdr:sp>
    <xdr:clientData/>
  </xdr:twoCellAnchor>
  <xdr:twoCellAnchor editAs="absolute">
    <xdr:from>
      <xdr:col>1</xdr:col>
      <xdr:colOff>166049</xdr:colOff>
      <xdr:row>17</xdr:row>
      <xdr:rowOff>14572</xdr:rowOff>
    </xdr:from>
    <xdr:to>
      <xdr:col>3</xdr:col>
      <xdr:colOff>78964</xdr:colOff>
      <xdr:row>17</xdr:row>
      <xdr:rowOff>165268</xdr:rowOff>
    </xdr:to>
    <xdr:sp macro="" textlink="">
      <xdr:nvSpPr>
        <xdr:cNvPr id="28" name="TextBox 27">
          <a:extLst>
            <a:ext uri="{FF2B5EF4-FFF2-40B4-BE49-F238E27FC236}">
              <a16:creationId xmlns:a16="http://schemas.microsoft.com/office/drawing/2014/main" id="{2752D268-EB55-4F1B-B125-A1719A109350}"/>
            </a:ext>
          </a:extLst>
        </xdr:cNvPr>
        <xdr:cNvSpPr txBox="1"/>
      </xdr:nvSpPr>
      <xdr:spPr>
        <a:xfrm>
          <a:off x="775649" y="3168589"/>
          <a:ext cx="1132115" cy="15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kern="1200"/>
            <a:t>Patient Satisfaction</a:t>
          </a:r>
          <a:r>
            <a:rPr lang="en-IN" sz="800" b="1" kern="1200" baseline="0"/>
            <a:t> Score</a:t>
          </a:r>
          <a:endParaRPr lang="en-IN" sz="800" b="1" kern="1200"/>
        </a:p>
      </xdr:txBody>
    </xdr:sp>
    <xdr:clientData/>
  </xdr:twoCellAnchor>
  <xdr:twoCellAnchor editAs="absolute">
    <xdr:from>
      <xdr:col>3</xdr:col>
      <xdr:colOff>123104</xdr:colOff>
      <xdr:row>3</xdr:row>
      <xdr:rowOff>33130</xdr:rowOff>
    </xdr:from>
    <xdr:to>
      <xdr:col>6</xdr:col>
      <xdr:colOff>22304</xdr:colOff>
      <xdr:row>11</xdr:row>
      <xdr:rowOff>58979</xdr:rowOff>
    </xdr:to>
    <xdr:sp macro="" textlink="">
      <xdr:nvSpPr>
        <xdr:cNvPr id="31" name="Rectangle: Rounded Corners 30">
          <a:extLst>
            <a:ext uri="{FF2B5EF4-FFF2-40B4-BE49-F238E27FC236}">
              <a16:creationId xmlns:a16="http://schemas.microsoft.com/office/drawing/2014/main" id="{20704484-ECC6-4B7E-B211-C59F0EB77802}"/>
            </a:ext>
          </a:extLst>
        </xdr:cNvPr>
        <xdr:cNvSpPr/>
      </xdr:nvSpPr>
      <xdr:spPr>
        <a:xfrm>
          <a:off x="1951904" y="589721"/>
          <a:ext cx="1728000" cy="1510093"/>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absolute">
    <xdr:from>
      <xdr:col>6</xdr:col>
      <xdr:colOff>77133</xdr:colOff>
      <xdr:row>3</xdr:row>
      <xdr:rowOff>33130</xdr:rowOff>
    </xdr:from>
    <xdr:to>
      <xdr:col>8</xdr:col>
      <xdr:colOff>585933</xdr:colOff>
      <xdr:row>11</xdr:row>
      <xdr:rowOff>58978</xdr:rowOff>
    </xdr:to>
    <xdr:sp macro="" textlink="">
      <xdr:nvSpPr>
        <xdr:cNvPr id="35" name="Rectangle: Rounded Corners 34">
          <a:extLst>
            <a:ext uri="{FF2B5EF4-FFF2-40B4-BE49-F238E27FC236}">
              <a16:creationId xmlns:a16="http://schemas.microsoft.com/office/drawing/2014/main" id="{E910AEFB-4F09-4445-A8A1-61D3E49EE055}"/>
            </a:ext>
          </a:extLst>
        </xdr:cNvPr>
        <xdr:cNvSpPr/>
      </xdr:nvSpPr>
      <xdr:spPr>
        <a:xfrm>
          <a:off x="3734733" y="589721"/>
          <a:ext cx="1728000" cy="151009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absolute">
    <xdr:from>
      <xdr:col>3</xdr:col>
      <xdr:colOff>123102</xdr:colOff>
      <xdr:row>11</xdr:row>
      <xdr:rowOff>73769</xdr:rowOff>
    </xdr:from>
    <xdr:to>
      <xdr:col>8</xdr:col>
      <xdr:colOff>585931</xdr:colOff>
      <xdr:row>19</xdr:row>
      <xdr:rowOff>125896</xdr:rowOff>
    </xdr:to>
    <xdr:sp macro="" textlink="">
      <xdr:nvSpPr>
        <xdr:cNvPr id="41" name="Rectangle: Rounded Corners 40">
          <a:extLst>
            <a:ext uri="{FF2B5EF4-FFF2-40B4-BE49-F238E27FC236}">
              <a16:creationId xmlns:a16="http://schemas.microsoft.com/office/drawing/2014/main" id="{E89D26A0-E428-47FC-91BC-1D0FAE17F389}"/>
            </a:ext>
          </a:extLst>
        </xdr:cNvPr>
        <xdr:cNvSpPr/>
      </xdr:nvSpPr>
      <xdr:spPr>
        <a:xfrm>
          <a:off x="1951902" y="2114604"/>
          <a:ext cx="3510829" cy="153637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absolute">
    <xdr:from>
      <xdr:col>9</xdr:col>
      <xdr:colOff>0</xdr:colOff>
      <xdr:row>7</xdr:row>
      <xdr:rowOff>25410</xdr:rowOff>
    </xdr:from>
    <xdr:to>
      <xdr:col>13</xdr:col>
      <xdr:colOff>569842</xdr:colOff>
      <xdr:row>19</xdr:row>
      <xdr:rowOff>125897</xdr:rowOff>
    </xdr:to>
    <xdr:sp macro="" textlink="">
      <xdr:nvSpPr>
        <xdr:cNvPr id="43" name="Rectangle: Rounded Corners 42">
          <a:extLst>
            <a:ext uri="{FF2B5EF4-FFF2-40B4-BE49-F238E27FC236}">
              <a16:creationId xmlns:a16="http://schemas.microsoft.com/office/drawing/2014/main" id="{05B622F6-8C76-4F20-9FC2-EDEFC48C9C74}"/>
            </a:ext>
          </a:extLst>
        </xdr:cNvPr>
        <xdr:cNvSpPr/>
      </xdr:nvSpPr>
      <xdr:spPr>
        <a:xfrm>
          <a:off x="5486400" y="1324123"/>
          <a:ext cx="3008242" cy="232685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editAs="absolute">
    <xdr:from>
      <xdr:col>9</xdr:col>
      <xdr:colOff>0</xdr:colOff>
      <xdr:row>3</xdr:row>
      <xdr:rowOff>33131</xdr:rowOff>
    </xdr:from>
    <xdr:to>
      <xdr:col>13</xdr:col>
      <xdr:colOff>576470</xdr:colOff>
      <xdr:row>7</xdr:row>
      <xdr:rowOff>0</xdr:rowOff>
    </xdr:to>
    <xdr:sp macro="" textlink="">
      <xdr:nvSpPr>
        <xdr:cNvPr id="45" name="Rectangle: Rounded Corners 44">
          <a:extLst>
            <a:ext uri="{FF2B5EF4-FFF2-40B4-BE49-F238E27FC236}">
              <a16:creationId xmlns:a16="http://schemas.microsoft.com/office/drawing/2014/main" id="{33646CBB-7E77-47E4-A83F-E37A1E9CA660}"/>
            </a:ext>
          </a:extLst>
        </xdr:cNvPr>
        <xdr:cNvSpPr/>
      </xdr:nvSpPr>
      <xdr:spPr>
        <a:xfrm>
          <a:off x="5486400" y="589722"/>
          <a:ext cx="3014870" cy="708991"/>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kern="1200">
            <a:solidFill>
              <a:schemeClr val="lt1"/>
            </a:solidFill>
            <a:latin typeface="+mn-lt"/>
            <a:ea typeface="+mn-ea"/>
            <a:cs typeface="+mn-cs"/>
          </a:endParaRPr>
        </a:p>
      </xdr:txBody>
    </xdr:sp>
    <xdr:clientData/>
  </xdr:twoCellAnchor>
  <xdr:twoCellAnchor>
    <xdr:from>
      <xdr:col>1</xdr:col>
      <xdr:colOff>163002</xdr:colOff>
      <xdr:row>13</xdr:row>
      <xdr:rowOff>21194</xdr:rowOff>
    </xdr:from>
    <xdr:to>
      <xdr:col>3</xdr:col>
      <xdr:colOff>78964</xdr:colOff>
      <xdr:row>15</xdr:row>
      <xdr:rowOff>19659</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9CB98BD5-A5B7-43B7-BA27-3417A0384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166049</xdr:colOff>
      <xdr:row>16</xdr:row>
      <xdr:rowOff>178897</xdr:rowOff>
    </xdr:from>
    <xdr:to>
      <xdr:col>3</xdr:col>
      <xdr:colOff>68275</xdr:colOff>
      <xdr:row>19</xdr:row>
      <xdr:rowOff>119490</xdr:rowOff>
    </xdr:to>
    <xdr:graphicFrame macro="">
      <xdr:nvGraphicFramePr>
        <xdr:cNvPr id="50" name="Chart 49">
          <a:hlinkClick xmlns:r="http://schemas.openxmlformats.org/officeDocument/2006/relationships" r:id="rId12"/>
          <a:extLst>
            <a:ext uri="{FF2B5EF4-FFF2-40B4-BE49-F238E27FC236}">
              <a16:creationId xmlns:a16="http://schemas.microsoft.com/office/drawing/2014/main" id="{B09D49CE-7BAE-42A5-A20D-0581F95A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0</xdr:colOff>
          <xdr:row>3</xdr:row>
          <xdr:rowOff>26505</xdr:rowOff>
        </xdr:from>
        <xdr:to>
          <xdr:col>13</xdr:col>
          <xdr:colOff>576470</xdr:colOff>
          <xdr:row>6</xdr:row>
          <xdr:rowOff>178904</xdr:rowOff>
        </xdr:to>
        <xdr:pic>
          <xdr:nvPicPr>
            <xdr:cNvPr id="56" name="Picture 55">
              <a:extLst>
                <a:ext uri="{FF2B5EF4-FFF2-40B4-BE49-F238E27FC236}">
                  <a16:creationId xmlns:a16="http://schemas.microsoft.com/office/drawing/2014/main" id="{F7611904-DB8C-E91D-55C5-5892E0BC660A}"/>
                </a:ext>
              </a:extLst>
            </xdr:cNvPr>
            <xdr:cNvPicPr>
              <a:picLocks noChangeAspect="1" noChangeArrowheads="1"/>
              <a:extLst>
                <a:ext uri="{84589F7E-364E-4C9E-8A38-B11213B215E9}">
                  <a14:cameraTool cellRange="'Pivot Report'!$L$39:$O$41" spid="_x0000_s1053"/>
                </a:ext>
              </a:extLst>
            </xdr:cNvPicPr>
          </xdr:nvPicPr>
          <xdr:blipFill>
            <a:blip xmlns:r="http://schemas.openxmlformats.org/officeDocument/2006/relationships" r:embed="rId14"/>
            <a:srcRect/>
            <a:stretch>
              <a:fillRect/>
            </a:stretch>
          </xdr:blipFill>
          <xdr:spPr bwMode="auto">
            <a:xfrm>
              <a:off x="5486400" y="583096"/>
              <a:ext cx="3014870" cy="7089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0</xdr:colOff>
      <xdr:row>7</xdr:row>
      <xdr:rowOff>25409</xdr:rowOff>
    </xdr:from>
    <xdr:to>
      <xdr:col>13</xdr:col>
      <xdr:colOff>563836</xdr:colOff>
      <xdr:row>19</xdr:row>
      <xdr:rowOff>125896</xdr:rowOff>
    </xdr:to>
    <xdr:graphicFrame macro="">
      <xdr:nvGraphicFramePr>
        <xdr:cNvPr id="57" name="Chart 56">
          <a:extLst>
            <a:ext uri="{FF2B5EF4-FFF2-40B4-BE49-F238E27FC236}">
              <a16:creationId xmlns:a16="http://schemas.microsoft.com/office/drawing/2014/main" id="{284C110F-CC59-4033-A30B-A25EBCE30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123104</xdr:colOff>
      <xdr:row>3</xdr:row>
      <xdr:rowOff>33130</xdr:rowOff>
    </xdr:from>
    <xdr:to>
      <xdr:col>6</xdr:col>
      <xdr:colOff>22304</xdr:colOff>
      <xdr:row>11</xdr:row>
      <xdr:rowOff>58979</xdr:rowOff>
    </xdr:to>
    <xdr:graphicFrame macro="">
      <xdr:nvGraphicFramePr>
        <xdr:cNvPr id="58" name="Chart 57">
          <a:extLst>
            <a:ext uri="{FF2B5EF4-FFF2-40B4-BE49-F238E27FC236}">
              <a16:creationId xmlns:a16="http://schemas.microsoft.com/office/drawing/2014/main" id="{F6CF6534-02F6-4DA3-8006-E8736F0CE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92765</xdr:colOff>
      <xdr:row>3</xdr:row>
      <xdr:rowOff>26505</xdr:rowOff>
    </xdr:from>
    <xdr:to>
      <xdr:col>8</xdr:col>
      <xdr:colOff>589722</xdr:colOff>
      <xdr:row>11</xdr:row>
      <xdr:rowOff>59634</xdr:rowOff>
    </xdr:to>
    <xdr:graphicFrame macro="">
      <xdr:nvGraphicFramePr>
        <xdr:cNvPr id="59" name="Chart 58">
          <a:extLst>
            <a:ext uri="{FF2B5EF4-FFF2-40B4-BE49-F238E27FC236}">
              <a16:creationId xmlns:a16="http://schemas.microsoft.com/office/drawing/2014/main" id="{B01BE213-B319-43FB-A7F4-293BE55B2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125896</xdr:colOff>
      <xdr:row>18</xdr:row>
      <xdr:rowOff>145774</xdr:rowOff>
    </xdr:from>
    <xdr:to>
      <xdr:col>8</xdr:col>
      <xdr:colOff>583096</xdr:colOff>
      <xdr:row>19</xdr:row>
      <xdr:rowOff>119270</xdr:rowOff>
    </xdr:to>
    <xdr:sp macro="" textlink="">
      <xdr:nvSpPr>
        <xdr:cNvPr id="61" name="TextBox 19">
          <a:extLst>
            <a:ext uri="{FF2B5EF4-FFF2-40B4-BE49-F238E27FC236}">
              <a16:creationId xmlns:a16="http://schemas.microsoft.com/office/drawing/2014/main" id="{4A5E2D5D-29C9-F87C-177C-9AFE136BEA66}"/>
            </a:ext>
          </a:extLst>
        </xdr:cNvPr>
        <xdr:cNvSpPr txBox="1"/>
      </xdr:nvSpPr>
      <xdr:spPr>
        <a:xfrm>
          <a:off x="1954696" y="3485322"/>
          <a:ext cx="3505200" cy="159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kern="1200"/>
            <a:t>No. Of Patients By Department Referral</a:t>
          </a:r>
        </a:p>
      </xdr:txBody>
    </xdr:sp>
    <xdr:clientData/>
  </xdr:twoCellAnchor>
  <xdr:twoCellAnchor>
    <xdr:from>
      <xdr:col>8</xdr:col>
      <xdr:colOff>609599</xdr:colOff>
      <xdr:row>18</xdr:row>
      <xdr:rowOff>172278</xdr:rowOff>
    </xdr:from>
    <xdr:to>
      <xdr:col>13</xdr:col>
      <xdr:colOff>563216</xdr:colOff>
      <xdr:row>19</xdr:row>
      <xdr:rowOff>125896</xdr:rowOff>
    </xdr:to>
    <xdr:sp macro="" textlink="">
      <xdr:nvSpPr>
        <xdr:cNvPr id="62" name="TextBox 19">
          <a:extLst>
            <a:ext uri="{FF2B5EF4-FFF2-40B4-BE49-F238E27FC236}">
              <a16:creationId xmlns:a16="http://schemas.microsoft.com/office/drawing/2014/main" id="{6C408DEC-BE97-4422-9ABA-CE52D3466242}"/>
            </a:ext>
          </a:extLst>
        </xdr:cNvPr>
        <xdr:cNvSpPr txBox="1"/>
      </xdr:nvSpPr>
      <xdr:spPr>
        <a:xfrm>
          <a:off x="5486399" y="3511826"/>
          <a:ext cx="3001617" cy="13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kern="1200"/>
            <a:t>No. Of Patient By Age Group</a:t>
          </a:r>
        </a:p>
      </xdr:txBody>
    </xdr:sp>
    <xdr:clientData/>
  </xdr:twoCellAnchor>
  <xdr:twoCellAnchor>
    <xdr:from>
      <xdr:col>3</xdr:col>
      <xdr:colOff>125896</xdr:colOff>
      <xdr:row>11</xdr:row>
      <xdr:rowOff>79513</xdr:rowOff>
    </xdr:from>
    <xdr:to>
      <xdr:col>8</xdr:col>
      <xdr:colOff>576470</xdr:colOff>
      <xdr:row>19</xdr:row>
      <xdr:rowOff>125895</xdr:rowOff>
    </xdr:to>
    <xdr:graphicFrame macro="">
      <xdr:nvGraphicFramePr>
        <xdr:cNvPr id="63" name="Chart 62">
          <a:extLst>
            <a:ext uri="{FF2B5EF4-FFF2-40B4-BE49-F238E27FC236}">
              <a16:creationId xmlns:a16="http://schemas.microsoft.com/office/drawing/2014/main" id="{BF9994FC-1063-422F-B71D-1668B0B92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172278</xdr:colOff>
      <xdr:row>3</xdr:row>
      <xdr:rowOff>46382</xdr:rowOff>
    </xdr:from>
    <xdr:to>
      <xdr:col>3</xdr:col>
      <xdr:colOff>59635</xdr:colOff>
      <xdr:row>5</xdr:row>
      <xdr:rowOff>165652</xdr:rowOff>
    </xdr:to>
    <mc:AlternateContent xmlns:mc="http://schemas.openxmlformats.org/markup-compatibility/2006" xmlns:a14="http://schemas.microsoft.com/office/drawing/2010/main">
      <mc:Choice Requires="a14">
        <xdr:graphicFrame macro="">
          <xdr:nvGraphicFramePr>
            <xdr:cNvPr id="64" name="Date (Year)">
              <a:extLst>
                <a:ext uri="{FF2B5EF4-FFF2-40B4-BE49-F238E27FC236}">
                  <a16:creationId xmlns:a16="http://schemas.microsoft.com/office/drawing/2014/main" id="{ED27A21A-F326-42C0-9F1C-D14E99E0AD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81878" y="602973"/>
              <a:ext cx="1106557" cy="490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165652</xdr:colOff>
      <xdr:row>5</xdr:row>
      <xdr:rowOff>26505</xdr:rowOff>
    </xdr:from>
    <xdr:to>
      <xdr:col>3</xdr:col>
      <xdr:colOff>72887</xdr:colOff>
      <xdr:row>5</xdr:row>
      <xdr:rowOff>165652</xdr:rowOff>
    </xdr:to>
    <xdr:sp macro="" textlink="">
      <xdr:nvSpPr>
        <xdr:cNvPr id="65" name="TextBox 19">
          <a:extLst>
            <a:ext uri="{FF2B5EF4-FFF2-40B4-BE49-F238E27FC236}">
              <a16:creationId xmlns:a16="http://schemas.microsoft.com/office/drawing/2014/main" id="{42E2D82E-7AFE-4373-CA81-7D0A20A3BF2C}"/>
            </a:ext>
          </a:extLst>
        </xdr:cNvPr>
        <xdr:cNvSpPr txBox="1"/>
      </xdr:nvSpPr>
      <xdr:spPr>
        <a:xfrm>
          <a:off x="775252" y="954157"/>
          <a:ext cx="1126435" cy="13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kern="1200"/>
            <a:t>Select Year</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0.00384</cdr:x>
      <cdr:y>0.88266</cdr:y>
    </cdr:from>
    <cdr:to>
      <cdr:x>1</cdr:x>
      <cdr:y>0.99605</cdr:y>
    </cdr:to>
    <cdr:sp macro="" textlink="">
      <cdr:nvSpPr>
        <cdr:cNvPr id="2" name="TextBox 19">
          <a:extLst xmlns:a="http://schemas.openxmlformats.org/drawingml/2006/main">
            <a:ext uri="{FF2B5EF4-FFF2-40B4-BE49-F238E27FC236}">
              <a16:creationId xmlns:a16="http://schemas.microsoft.com/office/drawing/2014/main" id="{26537CCE-6C02-4610-832D-F906CCB002FC}"/>
            </a:ext>
          </a:extLst>
        </cdr:cNvPr>
        <cdr:cNvSpPr txBox="1"/>
      </cdr:nvSpPr>
      <cdr:spPr>
        <a:xfrm xmlns:a="http://schemas.openxmlformats.org/drawingml/2006/main">
          <a:off x="6627" y="1332892"/>
          <a:ext cx="1721373" cy="1712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1" kern="1200"/>
            <a:t>Patient Attended Status</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0.88279</cdr:y>
    </cdr:from>
    <cdr:to>
      <cdr:x>0.99918</cdr:x>
      <cdr:y>0.99563</cdr:y>
    </cdr:to>
    <cdr:sp macro="" textlink="">
      <cdr:nvSpPr>
        <cdr:cNvPr id="2" name="TextBox 19">
          <a:extLst xmlns:a="http://schemas.openxmlformats.org/drawingml/2006/main">
            <a:ext uri="{FF2B5EF4-FFF2-40B4-BE49-F238E27FC236}">
              <a16:creationId xmlns:a16="http://schemas.microsoft.com/office/drawing/2014/main" id="{F2025B96-3431-E95B-46C6-83C6786F4A91}"/>
            </a:ext>
          </a:extLst>
        </cdr:cNvPr>
        <cdr:cNvSpPr txBox="1"/>
      </cdr:nvSpPr>
      <cdr:spPr>
        <a:xfrm xmlns:a="http://schemas.openxmlformats.org/drawingml/2006/main">
          <a:off x="0" y="1339519"/>
          <a:ext cx="1721373" cy="1712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1" kern="1200"/>
            <a:t>No. Of Patients By Gender</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606000</xdr:colOff>
      <xdr:row>14</xdr:row>
      <xdr:rowOff>14289</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182880</xdr:rowOff>
    </xdr:from>
    <xdr:to>
      <xdr:col>14</xdr:col>
      <xdr:colOff>606000</xdr:colOff>
      <xdr:row>13</xdr:row>
      <xdr:rowOff>169217</xdr:rowOff>
    </xdr:to>
    <xdr:graphicFrame macro="">
      <xdr:nvGraphicFramePr>
        <xdr:cNvPr id="9" name="Chart 8">
          <a:extLst>
            <a:ext uri="{FF2B5EF4-FFF2-40B4-BE49-F238E27FC236}">
              <a16:creationId xmlns:a16="http://schemas.microsoft.com/office/drawing/2014/main" id="{5F1348C1-CF22-4AEA-B2E0-DEB51710E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0</xdr:col>
      <xdr:colOff>180000</xdr:colOff>
      <xdr:row>0</xdr:row>
      <xdr:rowOff>180000</xdr:rowOff>
    </xdr:to>
    <xdr:pic>
      <xdr:nvPicPr>
        <xdr:cNvPr id="10" name="Graphic 9" descr="Home with solid fill">
          <a:hlinkClick xmlns:r="http://schemas.openxmlformats.org/officeDocument/2006/relationships" r:id="rId3"/>
          <a:extLst>
            <a:ext uri="{FF2B5EF4-FFF2-40B4-BE49-F238E27FC236}">
              <a16:creationId xmlns:a16="http://schemas.microsoft.com/office/drawing/2014/main" id="{D40D73ED-5BEA-4528-B10C-65D76427DD4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180000" cy="18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606000</xdr:colOff>
      <xdr:row>14</xdr:row>
      <xdr:rowOff>0</xdr:rowOff>
    </xdr:to>
    <xdr:graphicFrame macro="">
      <xdr:nvGraphicFramePr>
        <xdr:cNvPr id="2" name="Chart 1">
          <a:extLst>
            <a:ext uri="{FF2B5EF4-FFF2-40B4-BE49-F238E27FC236}">
              <a16:creationId xmlns:a16="http://schemas.microsoft.com/office/drawing/2014/main" id="{483707F5-C958-40FA-B26C-95E6FFD97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180000</xdr:colOff>
      <xdr:row>0</xdr:row>
      <xdr:rowOff>180000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0C99931D-E30E-4AA0-8552-E50FBA984B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180000" cy="18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180000</xdr:colOff>
      <xdr:row>0</xdr:row>
      <xdr:rowOff>180000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8ED5315E-53DE-473E-8B64-81F106274E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180000" cy="180000"/>
        </a:xfrm>
        <a:prstGeom prst="rect">
          <a:avLst/>
        </a:prstGeom>
      </xdr:spPr>
    </xdr:pic>
    <xdr:clientData/>
  </xdr:twoCellAnchor>
  <xdr:twoCellAnchor>
    <xdr:from>
      <xdr:col>0</xdr:col>
      <xdr:colOff>0</xdr:colOff>
      <xdr:row>1</xdr:row>
      <xdr:rowOff>0</xdr:rowOff>
    </xdr:from>
    <xdr:to>
      <xdr:col>14</xdr:col>
      <xdr:colOff>606000</xdr:colOff>
      <xdr:row>14</xdr:row>
      <xdr:rowOff>0</xdr:rowOff>
    </xdr:to>
    <xdr:graphicFrame macro="">
      <xdr:nvGraphicFramePr>
        <xdr:cNvPr id="4" name="Chart 3">
          <a:extLst>
            <a:ext uri="{FF2B5EF4-FFF2-40B4-BE49-F238E27FC236}">
              <a16:creationId xmlns:a16="http://schemas.microsoft.com/office/drawing/2014/main" id="{F8EA5CE3-79D4-43E3-9506-109FC0274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5162039" createdVersion="5" refreshedVersion="8" minRefreshableVersion="3" recordCount="0" supportSubquery="1" supportAdvancedDrill="1" xr:uid="{95AC6C11-972D-4A1C-84DF-64437728687B}">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5393516" createdVersion="5" refreshedVersion="8" minRefreshableVersion="3" recordCount="0" supportSubquery="1" supportAdvancedDrill="1" xr:uid="{0AA6E62F-DC73-4878-988E-2A361726DF0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5393516" createdVersion="5" refreshedVersion="8" minRefreshableVersion="3" recordCount="0" supportSubquery="1" supportAdvancedDrill="1" xr:uid="{7F9536EE-73C4-4E62-98F5-A2E60FAF89A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5625001" createdVersion="5" refreshedVersion="8" minRefreshableVersion="3" recordCount="0" supportSubquery="1" supportAdvancedDrill="1" xr:uid="{8AEE3370-BC49-40A2-8687-67DADA00FBD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5856478" createdVersion="5" refreshedVersion="8" minRefreshableVersion="3" recordCount="0" supportSubquery="1" supportAdvancedDrill="1" xr:uid="{677060AC-5B69-4250-BAE4-5479F9801DC6}">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6319447" createdVersion="5" refreshedVersion="8" minRefreshableVersion="3" recordCount="0" supportSubquery="1" supportAdvancedDrill="1" xr:uid="{4A2E06F1-0F6A-49DF-AA3C-67815703F859}">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6666663" createdVersion="5" refreshedVersion="8" minRefreshableVersion="3" recordCount="0" supportSubquery="1" supportAdvancedDrill="1" xr:uid="{F7B3D3C5-1224-4AE2-BEF9-138E599D76C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7013887" createdVersion="5" refreshedVersion="8" minRefreshableVersion="3" recordCount="0" supportSubquery="1" supportAdvancedDrill="1" xr:uid="{645921B5-5595-48DF-89C5-BCBFCD38AC6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736111" createdVersion="5" refreshedVersion="8" minRefreshableVersion="3" recordCount="0" supportSubquery="1" supportAdvancedDrill="1" xr:uid="{6F80155E-34E7-4D3C-8DEA-2395D1D072E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7708333" createdVersion="5" refreshedVersion="8" minRefreshableVersion="3" recordCount="0" supportSubquery="1" supportAdvancedDrill="1" xr:uid="{7FD7EBF2-F0FE-4723-9542-C27C844E48E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8055556" createdVersion="5" refreshedVersion="8" minRefreshableVersion="3" recordCount="0" supportSubquery="1" supportAdvancedDrill="1" xr:uid="{4AC85702-F961-452A-9535-BC956BC2D31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9581840278" createdVersion="5" refreshedVersion="8" minRefreshableVersion="3" recordCount="0" supportSubquery="1" supportAdvancedDrill="1" xr:uid="{FE8695AF-4E04-4FE2-9CB8-481F0F8A063C}">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aid Ansari" refreshedDate="45713.859750810188" createdVersion="3" refreshedVersion="8" minRefreshableVersion="3" recordCount="0" supportSubquery="1" supportAdvancedDrill="1" xr:uid="{E8E5DFB6-5486-40C9-A91A-A305127E19D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40717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78209-0BFA-48F2-8B19-17EF62D48C44}" name="PivotTable13" cacheId="45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37">
  <location ref="A79:A8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F482D-0FDA-406D-A606-0C2B955E6377}" name="PivotTable12" cacheId="448"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37">
  <location ref="A67:B7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2">
      <pivotArea collapsedLevelsAreSubtotals="1" fieldPosition="0">
        <references count="1">
          <reference field="1"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427"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1">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F7707-4E4A-4C64-B38F-A1F2697F810F}" name="PivotTable3" cacheId="433"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379">
  <location ref="I4:J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39">
      <pivotArea collapsedLevelsAreSubtotals="1" fieldPosition="0">
        <references count="1">
          <reference field="0" count="0"/>
        </references>
      </pivotArea>
    </format>
  </formats>
  <chartFormats count="2">
    <chartFormat chart="375" format="2" series="1">
      <pivotArea type="data" outline="0" fieldPosition="0">
        <references count="1">
          <reference field="4294967294" count="1" selected="0">
            <x v="0"/>
          </reference>
        </references>
      </pivotArea>
    </chartFormat>
    <chartFormat chart="37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D3969D-E1FC-4443-8300-2D3C6036B3CF}" name="PivotTable11" cacheId="445"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6">
  <location ref="A61: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9">
    <format dxfId="3">
      <pivotArea outline="0" collapsedLevelsAreSubtotals="1" fieldPosition="0"/>
    </format>
    <format dxfId="4">
      <pivotArea collapsedLevelsAreSubtotals="1" fieldPosition="0">
        <references count="1">
          <reference field="1" count="0"/>
        </references>
      </pivotArea>
    </format>
    <format dxfId="5">
      <pivotArea collapsedLevelsAreSubtotals="1" fieldPosition="0">
        <references count="1">
          <reference field="1" count="0"/>
        </references>
      </pivotArea>
    </format>
    <format dxfId="6">
      <pivotArea collapsedLevelsAreSubtotals="1" fieldPosition="0">
        <references count="1">
          <reference field="1" count="0"/>
        </references>
      </pivotArea>
    </format>
    <format dxfId="7">
      <pivotArea collapsedLevelsAreSubtotals="1" fieldPosition="0">
        <references count="1">
          <reference field="1" count="0"/>
        </references>
      </pivotArea>
    </format>
    <format dxfId="8">
      <pivotArea collapsedLevelsAreSubtotals="1" fieldPosition="0">
        <references count="1">
          <reference field="1" count="0"/>
        </references>
      </pivotArea>
    </format>
    <format dxfId="9">
      <pivotArea collapsedLevelsAreSubtotals="1" fieldPosition="0">
        <references count="1">
          <reference field="1" count="0"/>
        </references>
      </pivotArea>
    </format>
    <format dxfId="10">
      <pivotArea collapsedLevelsAreSubtotals="1" fieldPosition="0">
        <references count="1">
          <reference field="1" count="0"/>
        </references>
      </pivotArea>
    </format>
    <format dxfId="11">
      <pivotArea collapsedLevelsAreSubtotals="1" fieldPosition="0">
        <references count="1">
          <reference field="1" count="0"/>
        </references>
      </pivotArea>
    </format>
    <format dxfId="12">
      <pivotArea collapsedLevelsAreSubtotals="1" fieldPosition="0">
        <references count="1">
          <reference field="1" count="0"/>
        </references>
      </pivotArea>
    </format>
    <format dxfId="13">
      <pivotArea collapsedLevelsAreSubtotals="1" fieldPosition="0">
        <references count="1">
          <reference field="1" count="0"/>
        </references>
      </pivotArea>
    </format>
    <format dxfId="14">
      <pivotArea collapsedLevelsAreSubtotals="1" fieldPosition="0">
        <references count="1">
          <reference field="1" count="0"/>
        </references>
      </pivotArea>
    </format>
    <format dxfId="15">
      <pivotArea collapsedLevelsAreSubtotals="1" fieldPosition="0">
        <references count="1">
          <reference field="1" count="0"/>
        </references>
      </pivotArea>
    </format>
    <format dxfId="16">
      <pivotArea collapsedLevelsAreSubtotals="1" fieldPosition="0">
        <references count="1">
          <reference field="1" count="0"/>
        </references>
      </pivotArea>
    </format>
    <format dxfId="17">
      <pivotArea collapsedLevelsAreSubtotals="1" fieldPosition="0">
        <references count="1">
          <reference field="1" count="0"/>
        </references>
      </pivotArea>
    </format>
    <format dxfId="18">
      <pivotArea collapsedLevelsAreSubtotals="1" fieldPosition="0">
        <references count="1">
          <reference field="1" count="0"/>
        </references>
      </pivotArea>
    </format>
    <format dxfId="19">
      <pivotArea collapsedLevelsAreSubtotals="1" fieldPosition="0">
        <references count="1">
          <reference field="1" count="0"/>
        </references>
      </pivotArea>
    </format>
    <format dxfId="20">
      <pivotArea collapsedLevelsAreSubtotals="1" fieldPosition="0">
        <references count="1">
          <reference field="1" count="0"/>
        </references>
      </pivotArea>
    </format>
    <format dxfId="21">
      <pivotArea collapsedLevelsAreSubtotals="1" fieldPosition="0">
        <references count="1">
          <reference field="1" count="0"/>
        </references>
      </pivotArea>
    </format>
    <format dxfId="22">
      <pivotArea collapsedLevelsAreSubtotals="1" fieldPosition="0">
        <references count="1">
          <reference field="1" count="0"/>
        </references>
      </pivotArea>
    </format>
    <format dxfId="23">
      <pivotArea collapsedLevelsAreSubtotals="1" fieldPosition="0">
        <references count="1">
          <reference field="1" count="0"/>
        </references>
      </pivotArea>
    </format>
    <format dxfId="24">
      <pivotArea collapsedLevelsAreSubtotals="1" fieldPosition="0">
        <references count="1">
          <reference field="1" count="0"/>
        </references>
      </pivotArea>
    </format>
    <format dxfId="25">
      <pivotArea collapsedLevelsAreSubtotals="1" fieldPosition="0">
        <references count="1">
          <reference field="1" count="0"/>
        </references>
      </pivotArea>
    </format>
    <format dxfId="26">
      <pivotArea collapsedLevelsAreSubtotals="1" fieldPosition="0">
        <references count="1">
          <reference field="1" count="0"/>
        </references>
      </pivotArea>
    </format>
    <format dxfId="27">
      <pivotArea collapsedLevelsAreSubtotals="1" fieldPosition="0">
        <references count="1">
          <reference field="1" count="0"/>
        </references>
      </pivotArea>
    </format>
    <format dxfId="28">
      <pivotArea collapsedLevelsAreSubtotals="1" fieldPosition="0">
        <references count="1">
          <reference field="1" count="0"/>
        </references>
      </pivotArea>
    </format>
    <format dxfId="29">
      <pivotArea collapsedLevelsAreSubtotals="1" fieldPosition="0">
        <references count="1">
          <reference field="1" count="0"/>
        </references>
      </pivotArea>
    </format>
    <format dxfId="30">
      <pivotArea collapsedLevelsAreSubtotals="1" fieldPosition="0">
        <references count="1">
          <reference field="1" count="0"/>
        </references>
      </pivotArea>
    </format>
    <format dxfId="31">
      <pivotArea collapsedLevelsAreSubtotals="1" fieldPosition="0">
        <references count="1">
          <reference field="1" count="0"/>
        </references>
      </pivotArea>
    </format>
  </formats>
  <chartFormats count="6">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0"/>
          </reference>
        </references>
      </pivotArea>
    </chartFormat>
    <chartFormat chart="22" format="3">
      <pivotArea type="data" outline="0" fieldPosition="0">
        <references count="2">
          <reference field="4294967294" count="1" selected="0">
            <x v="0"/>
          </reference>
          <reference field="1"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A3C333-7781-4F05-A652-7E2BE26AE780}" name="PivotTable2" cacheId="43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375">
  <location ref="F4:G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40">
      <pivotArea collapsedLevelsAreSubtotals="1" fieldPosition="0">
        <references count="1">
          <reference field="0" count="0"/>
        </references>
      </pivotArea>
    </format>
  </formats>
  <chartFormats count="4">
    <chartFormat chart="217" format="2" series="1">
      <pivotArea type="data" outline="0" fieldPosition="0">
        <references count="1">
          <reference field="4294967294" count="1" selected="0">
            <x v="0"/>
          </reference>
        </references>
      </pivotArea>
    </chartFormat>
    <chartFormat chart="220" format="4" series="1">
      <pivotArea type="data" outline="0" fieldPosition="0">
        <references count="1">
          <reference field="4294967294" count="1" selected="0">
            <x v="0"/>
          </reference>
        </references>
      </pivotArea>
    </chartFormat>
    <chartFormat chart="373" format="5" series="1">
      <pivotArea type="data" outline="0" fieldPosition="0">
        <references count="1">
          <reference field="4294967294" count="1" selected="0">
            <x v="0"/>
          </reference>
        </references>
      </pivotArea>
    </chartFormat>
    <chartFormat chart="374"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42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2">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A7BAB5-F598-4A29-84C1-12727C32B814}" name="PivotTable10" cacheId="442"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1">
  <location ref="A55: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2">
      <pivotArea outline="0" collapsedLevelsAreSubtotals="1" fieldPosition="0"/>
    </format>
    <format dxfId="33">
      <pivotArea collapsedLevelsAreSubtotals="1" fieldPosition="0">
        <references count="1">
          <reference field="1" count="0"/>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42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C98634-029A-444D-A3CB-47D0C5B88365}" name="PivotTable8" cacheId="439"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8">
  <location ref="A43:B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4">
      <pivotArea outline="0" collapsedLevelsAreSubtotals="1" fieldPosition="0"/>
    </format>
    <format dxfId="35">
      <pivotArea collapsedLevelsAreSubtotals="1" fieldPosition="0">
        <references count="1">
          <reference field="1" count="0"/>
        </references>
      </pivotArea>
    </format>
  </format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418"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16">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D097C1-3DFB-4502-9586-BD5165F74883}" name="PivotTable4" cacheId="436"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4">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6">
      <pivotArea outline="0" collapsedLevelsAreSubtotals="1" fieldPosition="0"/>
    </format>
    <format dxfId="37">
      <pivotArea collapsedLevelsAreSubtotals="1" fieldPosition="0">
        <references count="1">
          <reference field="1" count="0"/>
        </references>
      </pivotArea>
    </format>
    <format dxfId="38">
      <pivotArea outline="0" fieldPosition="0">
        <references count="1">
          <reference field="4294967294" count="1">
            <x v="1"/>
          </reference>
        </references>
      </pivotArea>
    </format>
  </format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 count="1" selected="0">
            <x v="1"/>
          </reference>
        </references>
      </pivotArea>
    </chartFormat>
    <chartFormat chart="2" format="13">
      <pivotArea type="data" outline="0" fieldPosition="0">
        <references count="2">
          <reference field="4294967294" count="1" selected="0">
            <x v="1"/>
          </reference>
          <reference field="1"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4"/>
    <pivotTable tabId="1" name="PivotTable8"/>
    <pivotTable tabId="1" name="PivotTable10"/>
    <pivotTable tabId="1" name="PivotTable11"/>
    <pivotTable tabId="1" name="PivotTable12"/>
    <pivotTable tabId="1" name="PivotTable13"/>
  </pivotTables>
  <data>
    <olap pivotCacheId="84071790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02CC89B-4A62-4AD5-800F-B583730F89CB}"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84071790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SlicerStyleLight786" rowHeight="208800"/>
  <slicer name="Date (Year)" xr10:uid="{A6E8D82B-7FB0-43E3-AE05-A0EC6571CFEA}" cache="Slicer_Date__Year" caption="Date (Year)" columnCount="2" showCaption="0" level="1" style="Style 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O81"/>
  <sheetViews>
    <sheetView topLeftCell="F31" zoomScale="85" zoomScaleNormal="85" workbookViewId="0">
      <selection activeCell="D27" sqref="D27"/>
    </sheetView>
  </sheetViews>
  <sheetFormatPr defaultRowHeight="14.4" x14ac:dyDescent="0.3"/>
  <cols>
    <col min="1" max="1" width="45.109375" bestFit="1" customWidth="1"/>
    <col min="2" max="2" width="28.21875" bestFit="1" customWidth="1"/>
    <col min="3" max="3" width="39.6640625" bestFit="1" customWidth="1"/>
    <col min="4" max="4" width="32.44140625" bestFit="1" customWidth="1"/>
    <col min="5" max="5" width="9.21875" customWidth="1"/>
    <col min="6" max="6" width="18.44140625" bestFit="1" customWidth="1"/>
    <col min="7" max="7" width="33.44140625" bestFit="1" customWidth="1"/>
    <col min="8" max="8" width="5.6640625" customWidth="1"/>
    <col min="9" max="9" width="18.44140625" bestFit="1" customWidth="1"/>
    <col min="10" max="10" width="45.109375" bestFit="1" customWidth="1"/>
    <col min="12" max="12" width="13" customWidth="1"/>
    <col min="13" max="13" width="6.5546875" bestFit="1" customWidth="1"/>
    <col min="14" max="14" width="6.88671875" bestFit="1" customWidth="1"/>
    <col min="15" max="15" width="19.33203125" customWidth="1"/>
    <col min="16" max="16" width="8.88671875" customWidth="1"/>
  </cols>
  <sheetData>
    <row r="3" spans="1:10" x14ac:dyDescent="0.3">
      <c r="A3" t="s">
        <v>1</v>
      </c>
      <c r="C3" s="14" t="s">
        <v>6</v>
      </c>
      <c r="D3" s="14"/>
      <c r="F3" s="14" t="s">
        <v>7</v>
      </c>
      <c r="G3" s="14"/>
      <c r="I3" s="14" t="s">
        <v>11</v>
      </c>
      <c r="J3" s="14"/>
    </row>
    <row r="4" spans="1:10" x14ac:dyDescent="0.3">
      <c r="A4" t="s">
        <v>0</v>
      </c>
      <c r="C4" s="1" t="s">
        <v>4</v>
      </c>
      <c r="D4" t="s">
        <v>0</v>
      </c>
      <c r="F4" s="1" t="s">
        <v>4</v>
      </c>
      <c r="G4" t="s">
        <v>2</v>
      </c>
      <c r="I4" s="1" t="s">
        <v>4</v>
      </c>
      <c r="J4" t="s">
        <v>3</v>
      </c>
    </row>
    <row r="5" spans="1:10" x14ac:dyDescent="0.3">
      <c r="A5" s="20">
        <v>431</v>
      </c>
      <c r="C5" s="3" t="s">
        <v>50</v>
      </c>
      <c r="D5" s="20">
        <v>13</v>
      </c>
      <c r="F5" s="3" t="s">
        <v>50</v>
      </c>
      <c r="G5" s="2">
        <v>35.692307692307693</v>
      </c>
      <c r="I5" s="3" t="s">
        <v>50</v>
      </c>
      <c r="J5" s="2">
        <v>4.166666666666667</v>
      </c>
    </row>
    <row r="6" spans="1:10" x14ac:dyDescent="0.3">
      <c r="C6" s="3" t="s">
        <v>51</v>
      </c>
      <c r="D6" s="20">
        <v>10</v>
      </c>
      <c r="F6" s="3" t="s">
        <v>51</v>
      </c>
      <c r="G6" s="2">
        <v>45.4</v>
      </c>
      <c r="I6" s="3" t="s">
        <v>51</v>
      </c>
      <c r="J6" s="2">
        <v>5.75</v>
      </c>
    </row>
    <row r="7" spans="1:10" x14ac:dyDescent="0.3">
      <c r="C7" s="3" t="s">
        <v>52</v>
      </c>
      <c r="D7" s="20">
        <v>8</v>
      </c>
      <c r="F7" s="3" t="s">
        <v>52</v>
      </c>
      <c r="G7" s="2">
        <v>29.375</v>
      </c>
      <c r="I7" s="3" t="s">
        <v>52</v>
      </c>
      <c r="J7" s="2">
        <v>4.75</v>
      </c>
    </row>
    <row r="8" spans="1:10" x14ac:dyDescent="0.3">
      <c r="A8" t="s">
        <v>2</v>
      </c>
      <c r="C8" s="3" t="s">
        <v>53</v>
      </c>
      <c r="D8" s="20">
        <v>12</v>
      </c>
      <c r="F8" s="3" t="s">
        <v>53</v>
      </c>
      <c r="G8" s="2">
        <v>34.583333333333336</v>
      </c>
      <c r="I8" s="3" t="s">
        <v>53</v>
      </c>
      <c r="J8" s="2">
        <v>7</v>
      </c>
    </row>
    <row r="9" spans="1:10" x14ac:dyDescent="0.3">
      <c r="A9" s="2">
        <v>36.670533642691417</v>
      </c>
      <c r="C9" s="3" t="s">
        <v>54</v>
      </c>
      <c r="D9" s="20">
        <v>19</v>
      </c>
      <c r="F9" s="3" t="s">
        <v>54</v>
      </c>
      <c r="G9" s="2">
        <v>38.684210526315788</v>
      </c>
      <c r="I9" s="3" t="s">
        <v>54</v>
      </c>
      <c r="J9" s="2">
        <v>3.1428571428571428</v>
      </c>
    </row>
    <row r="10" spans="1:10" x14ac:dyDescent="0.3">
      <c r="C10" s="3" t="s">
        <v>55</v>
      </c>
      <c r="D10" s="20">
        <v>9</v>
      </c>
      <c r="F10" s="3" t="s">
        <v>55</v>
      </c>
      <c r="G10" s="2">
        <v>34.777777777777779</v>
      </c>
      <c r="I10" s="3" t="s">
        <v>55</v>
      </c>
      <c r="J10" s="2">
        <v>8</v>
      </c>
    </row>
    <row r="11" spans="1:10" x14ac:dyDescent="0.3">
      <c r="A11" t="s">
        <v>3</v>
      </c>
      <c r="C11" s="3" t="s">
        <v>56</v>
      </c>
      <c r="D11" s="20">
        <v>13</v>
      </c>
      <c r="F11" s="3" t="s">
        <v>56</v>
      </c>
      <c r="G11" s="2">
        <v>37.307692307692307</v>
      </c>
      <c r="I11" s="3" t="s">
        <v>56</v>
      </c>
      <c r="J11" s="2">
        <v>5.25</v>
      </c>
    </row>
    <row r="12" spans="1:10" x14ac:dyDescent="0.3">
      <c r="A12" s="2">
        <v>4.7154471544715451</v>
      </c>
      <c r="C12" s="3" t="s">
        <v>57</v>
      </c>
      <c r="D12" s="20">
        <v>19</v>
      </c>
      <c r="F12" s="3" t="s">
        <v>57</v>
      </c>
      <c r="G12" s="2">
        <v>35.631578947368418</v>
      </c>
      <c r="I12" s="3" t="s">
        <v>57</v>
      </c>
      <c r="J12" s="2">
        <v>4.5714285714285712</v>
      </c>
    </row>
    <row r="13" spans="1:10" x14ac:dyDescent="0.3">
      <c r="C13" s="3" t="s">
        <v>58</v>
      </c>
      <c r="D13" s="20">
        <v>10</v>
      </c>
      <c r="F13" s="3" t="s">
        <v>58</v>
      </c>
      <c r="G13" s="2">
        <v>36.6</v>
      </c>
      <c r="I13" s="3" t="s">
        <v>58</v>
      </c>
      <c r="J13" s="2">
        <v>2.75</v>
      </c>
    </row>
    <row r="14" spans="1:10" x14ac:dyDescent="0.3">
      <c r="C14" s="3" t="s">
        <v>59</v>
      </c>
      <c r="D14" s="20">
        <v>20</v>
      </c>
      <c r="F14" s="3" t="s">
        <v>59</v>
      </c>
      <c r="G14" s="2">
        <v>39.700000000000003</v>
      </c>
      <c r="I14" s="3" t="s">
        <v>59</v>
      </c>
      <c r="J14" s="2">
        <v>4.5</v>
      </c>
    </row>
    <row r="15" spans="1:10" x14ac:dyDescent="0.3">
      <c r="C15" s="3" t="s">
        <v>60</v>
      </c>
      <c r="D15" s="20">
        <v>15</v>
      </c>
      <c r="F15" s="3" t="s">
        <v>60</v>
      </c>
      <c r="G15" s="2">
        <v>37.4</v>
      </c>
      <c r="I15" s="3" t="s">
        <v>60</v>
      </c>
      <c r="J15" s="2">
        <v>5.5</v>
      </c>
    </row>
    <row r="16" spans="1:10" x14ac:dyDescent="0.3">
      <c r="C16" s="3" t="s">
        <v>61</v>
      </c>
      <c r="D16" s="20">
        <v>13</v>
      </c>
      <c r="F16" s="3" t="s">
        <v>61</v>
      </c>
      <c r="G16" s="2">
        <v>27.76923076923077</v>
      </c>
      <c r="I16" s="3" t="s">
        <v>61</v>
      </c>
      <c r="J16" s="2">
        <v>5.6</v>
      </c>
    </row>
    <row r="17" spans="3:10" x14ac:dyDescent="0.3">
      <c r="C17" s="3" t="s">
        <v>62</v>
      </c>
      <c r="D17" s="20">
        <v>9</v>
      </c>
      <c r="F17" s="3" t="s">
        <v>62</v>
      </c>
      <c r="G17" s="2">
        <v>38.777777777777779</v>
      </c>
      <c r="I17" s="3" t="s">
        <v>62</v>
      </c>
      <c r="J17" s="2">
        <v>5.75</v>
      </c>
    </row>
    <row r="18" spans="3:10" x14ac:dyDescent="0.3">
      <c r="C18" s="3" t="s">
        <v>63</v>
      </c>
      <c r="D18" s="20">
        <v>19</v>
      </c>
      <c r="F18" s="3" t="s">
        <v>63</v>
      </c>
      <c r="G18" s="2">
        <v>31</v>
      </c>
      <c r="I18" s="3" t="s">
        <v>63</v>
      </c>
      <c r="J18" s="2">
        <v>3.4444444444444446</v>
      </c>
    </row>
    <row r="19" spans="3:10" x14ac:dyDescent="0.3">
      <c r="C19" s="3" t="s">
        <v>64</v>
      </c>
      <c r="D19" s="20">
        <v>14</v>
      </c>
      <c r="F19" s="3" t="s">
        <v>64</v>
      </c>
      <c r="G19" s="2">
        <v>35.928571428571431</v>
      </c>
      <c r="I19" s="3" t="s">
        <v>64</v>
      </c>
      <c r="J19" s="2">
        <v>1.5</v>
      </c>
    </row>
    <row r="20" spans="3:10" x14ac:dyDescent="0.3">
      <c r="C20" s="3" t="s">
        <v>65</v>
      </c>
      <c r="D20" s="20">
        <v>17</v>
      </c>
      <c r="F20" s="3" t="s">
        <v>65</v>
      </c>
      <c r="G20" s="2">
        <v>37.882352941176471</v>
      </c>
      <c r="I20" s="3" t="s">
        <v>65</v>
      </c>
      <c r="J20" s="2">
        <v>3.6666666666666665</v>
      </c>
    </row>
    <row r="21" spans="3:10" x14ac:dyDescent="0.3">
      <c r="C21" s="3" t="s">
        <v>66</v>
      </c>
      <c r="D21" s="20">
        <v>17</v>
      </c>
      <c r="F21" s="3" t="s">
        <v>66</v>
      </c>
      <c r="G21" s="2">
        <v>40.588235294117645</v>
      </c>
      <c r="I21" s="3" t="s">
        <v>66</v>
      </c>
      <c r="J21" s="2">
        <v>4.4285714285714288</v>
      </c>
    </row>
    <row r="22" spans="3:10" x14ac:dyDescent="0.3">
      <c r="C22" s="3" t="s">
        <v>67</v>
      </c>
      <c r="D22" s="20">
        <v>15</v>
      </c>
      <c r="F22" s="3" t="s">
        <v>67</v>
      </c>
      <c r="G22" s="2">
        <v>34.533333333333331</v>
      </c>
      <c r="I22" s="3" t="s">
        <v>67</v>
      </c>
      <c r="J22" s="2">
        <v>6</v>
      </c>
    </row>
    <row r="23" spans="3:10" x14ac:dyDescent="0.3">
      <c r="C23" s="3" t="s">
        <v>68</v>
      </c>
      <c r="D23" s="20">
        <v>9</v>
      </c>
      <c r="F23" s="3" t="s">
        <v>68</v>
      </c>
      <c r="G23" s="2">
        <v>40.333333333333336</v>
      </c>
      <c r="I23" s="3" t="s">
        <v>68</v>
      </c>
      <c r="J23" s="2">
        <v>2.6666666666666665</v>
      </c>
    </row>
    <row r="24" spans="3:10" x14ac:dyDescent="0.3">
      <c r="C24" s="3" t="s">
        <v>69</v>
      </c>
      <c r="D24" s="20">
        <v>14</v>
      </c>
      <c r="F24" s="3" t="s">
        <v>69</v>
      </c>
      <c r="G24" s="2">
        <v>35.285714285714285</v>
      </c>
      <c r="I24" s="3" t="s">
        <v>69</v>
      </c>
      <c r="J24" s="2">
        <v>7.5</v>
      </c>
    </row>
    <row r="25" spans="3:10" x14ac:dyDescent="0.3">
      <c r="C25" s="3" t="s">
        <v>70</v>
      </c>
      <c r="D25" s="20">
        <v>22</v>
      </c>
      <c r="F25" s="3" t="s">
        <v>70</v>
      </c>
      <c r="G25" s="2">
        <v>35.5</v>
      </c>
      <c r="I25" s="3" t="s">
        <v>70</v>
      </c>
      <c r="J25" s="2">
        <v>4.5</v>
      </c>
    </row>
    <row r="26" spans="3:10" x14ac:dyDescent="0.3">
      <c r="C26" s="3" t="s">
        <v>71</v>
      </c>
      <c r="D26" s="20">
        <v>16</v>
      </c>
      <c r="F26" s="3" t="s">
        <v>71</v>
      </c>
      <c r="G26" s="2">
        <v>38.5625</v>
      </c>
      <c r="I26" s="3" t="s">
        <v>71</v>
      </c>
      <c r="J26" s="2">
        <v>8</v>
      </c>
    </row>
    <row r="27" spans="3:10" x14ac:dyDescent="0.3">
      <c r="C27" s="3" t="s">
        <v>72</v>
      </c>
      <c r="D27" s="20">
        <v>22</v>
      </c>
      <c r="F27" s="3" t="s">
        <v>72</v>
      </c>
      <c r="G27" s="2">
        <v>42.727272727272727</v>
      </c>
      <c r="I27" s="3" t="s">
        <v>72</v>
      </c>
      <c r="J27" s="2">
        <v>4.3636363636363633</v>
      </c>
    </row>
    <row r="28" spans="3:10" x14ac:dyDescent="0.3">
      <c r="C28" s="3" t="s">
        <v>73</v>
      </c>
      <c r="D28" s="20">
        <v>12</v>
      </c>
      <c r="F28" s="3" t="s">
        <v>73</v>
      </c>
      <c r="G28" s="2">
        <v>37.416666666666664</v>
      </c>
      <c r="I28" s="3" t="s">
        <v>73</v>
      </c>
      <c r="J28" s="2">
        <v>0</v>
      </c>
    </row>
    <row r="29" spans="3:10" x14ac:dyDescent="0.3">
      <c r="C29" s="3" t="s">
        <v>74</v>
      </c>
      <c r="D29" s="20">
        <v>20</v>
      </c>
      <c r="F29" s="3" t="s">
        <v>74</v>
      </c>
      <c r="G29" s="2">
        <v>32.450000000000003</v>
      </c>
      <c r="I29" s="3" t="s">
        <v>74</v>
      </c>
      <c r="J29" s="2">
        <v>10</v>
      </c>
    </row>
    <row r="30" spans="3:10" x14ac:dyDescent="0.3">
      <c r="C30" s="3" t="s">
        <v>75</v>
      </c>
      <c r="D30" s="20">
        <v>18</v>
      </c>
      <c r="F30" s="3" t="s">
        <v>75</v>
      </c>
      <c r="G30" s="2">
        <v>40.055555555555557</v>
      </c>
      <c r="I30" s="3" t="s">
        <v>76</v>
      </c>
      <c r="J30" s="2">
        <v>6.75</v>
      </c>
    </row>
    <row r="31" spans="3:10" x14ac:dyDescent="0.3">
      <c r="C31" s="3" t="s">
        <v>76</v>
      </c>
      <c r="D31" s="20">
        <v>18</v>
      </c>
      <c r="F31" s="3" t="s">
        <v>76</v>
      </c>
      <c r="G31" s="2">
        <v>31.666666666666668</v>
      </c>
      <c r="I31" s="3" t="s">
        <v>77</v>
      </c>
      <c r="J31" s="2">
        <v>7</v>
      </c>
    </row>
    <row r="32" spans="3:10" x14ac:dyDescent="0.3">
      <c r="C32" s="3" t="s">
        <v>77</v>
      </c>
      <c r="D32" s="20">
        <v>13</v>
      </c>
      <c r="F32" s="3" t="s">
        <v>77</v>
      </c>
      <c r="G32" s="2">
        <v>39.769230769230766</v>
      </c>
      <c r="I32" s="3" t="s">
        <v>78</v>
      </c>
      <c r="J32" s="2">
        <v>3.3333333333333335</v>
      </c>
    </row>
    <row r="33" spans="1:15" x14ac:dyDescent="0.3">
      <c r="C33" s="3" t="s">
        <v>78</v>
      </c>
      <c r="D33" s="20">
        <v>15</v>
      </c>
      <c r="F33" s="3" t="s">
        <v>78</v>
      </c>
      <c r="G33" s="2">
        <v>36.733333333333334</v>
      </c>
      <c r="I33" s="3" t="s">
        <v>5</v>
      </c>
      <c r="J33" s="20">
        <v>4.7154471544715451</v>
      </c>
    </row>
    <row r="34" spans="1:15" x14ac:dyDescent="0.3">
      <c r="C34" s="3" t="s">
        <v>5</v>
      </c>
      <c r="D34" s="20">
        <v>431</v>
      </c>
      <c r="F34" s="3" t="s">
        <v>5</v>
      </c>
      <c r="G34" s="20">
        <v>36.670533642691417</v>
      </c>
    </row>
    <row r="37" spans="1:15" x14ac:dyDescent="0.3">
      <c r="A37" s="14" t="s">
        <v>41</v>
      </c>
      <c r="B37" s="14"/>
    </row>
    <row r="38" spans="1:15" x14ac:dyDescent="0.3">
      <c r="A38" s="1" t="s">
        <v>4</v>
      </c>
      <c r="B38" t="s">
        <v>14</v>
      </c>
      <c r="C38" t="s">
        <v>35</v>
      </c>
    </row>
    <row r="39" spans="1:15" x14ac:dyDescent="0.3">
      <c r="A39" s="3" t="s">
        <v>12</v>
      </c>
      <c r="B39" s="8">
        <v>224</v>
      </c>
      <c r="C39" s="9">
        <v>0.51972157772621808</v>
      </c>
      <c r="L39" s="10" t="s">
        <v>36</v>
      </c>
      <c r="M39" s="10" t="s">
        <v>38</v>
      </c>
      <c r="N39" s="10" t="s">
        <v>37</v>
      </c>
      <c r="O39" s="11"/>
    </row>
    <row r="40" spans="1:15" x14ac:dyDescent="0.3">
      <c r="A40" s="3" t="s">
        <v>13</v>
      </c>
      <c r="B40" s="8">
        <v>207</v>
      </c>
      <c r="C40" s="9">
        <v>0.48027842227378192</v>
      </c>
      <c r="L40" s="21" t="str">
        <f>A40</f>
        <v>Not Admitted</v>
      </c>
      <c r="M40" s="22">
        <f>B40</f>
        <v>207</v>
      </c>
      <c r="N40" s="23">
        <f>C40</f>
        <v>0.48027842227378192</v>
      </c>
      <c r="O40" s="24"/>
    </row>
    <row r="41" spans="1:15" x14ac:dyDescent="0.3">
      <c r="A41" s="3" t="s">
        <v>5</v>
      </c>
      <c r="B41" s="2">
        <v>431</v>
      </c>
      <c r="C41" s="9">
        <v>1</v>
      </c>
      <c r="L41" s="21" t="str">
        <f>A39</f>
        <v>Admitted</v>
      </c>
      <c r="M41" s="22">
        <f>B39</f>
        <v>224</v>
      </c>
      <c r="N41" s="23">
        <f>C39</f>
        <v>0.51972157772621808</v>
      </c>
      <c r="O41" s="24"/>
    </row>
    <row r="42" spans="1:15" x14ac:dyDescent="0.3">
      <c r="A42" s="14" t="s">
        <v>40</v>
      </c>
      <c r="B42" s="14"/>
    </row>
    <row r="43" spans="1:15" x14ac:dyDescent="0.3">
      <c r="A43" s="1" t="s">
        <v>4</v>
      </c>
      <c r="B43" t="s">
        <v>39</v>
      </c>
    </row>
    <row r="44" spans="1:15" x14ac:dyDescent="0.3">
      <c r="A44" s="3" t="s">
        <v>24</v>
      </c>
      <c r="B44" s="8">
        <v>42</v>
      </c>
    </row>
    <row r="45" spans="1:15" x14ac:dyDescent="0.3">
      <c r="A45" s="3" t="s">
        <v>19</v>
      </c>
      <c r="B45" s="8">
        <v>46</v>
      </c>
    </row>
    <row r="46" spans="1:15" x14ac:dyDescent="0.3">
      <c r="A46" s="3" t="s">
        <v>25</v>
      </c>
      <c r="B46" s="8">
        <v>54</v>
      </c>
    </row>
    <row r="47" spans="1:15" x14ac:dyDescent="0.3">
      <c r="A47" s="3" t="s">
        <v>26</v>
      </c>
      <c r="B47" s="8">
        <v>68</v>
      </c>
    </row>
    <row r="48" spans="1:15" x14ac:dyDescent="0.3">
      <c r="A48" s="3" t="s">
        <v>22</v>
      </c>
      <c r="B48" s="8">
        <v>62</v>
      </c>
    </row>
    <row r="49" spans="1:2" x14ac:dyDescent="0.3">
      <c r="A49" s="3" t="s">
        <v>23</v>
      </c>
      <c r="B49" s="8">
        <v>52</v>
      </c>
    </row>
    <row r="50" spans="1:2" x14ac:dyDescent="0.3">
      <c r="A50" s="3" t="s">
        <v>17</v>
      </c>
      <c r="B50" s="8">
        <v>54</v>
      </c>
    </row>
    <row r="51" spans="1:2" x14ac:dyDescent="0.3">
      <c r="A51" s="3" t="s">
        <v>21</v>
      </c>
      <c r="B51" s="8">
        <v>53</v>
      </c>
    </row>
    <row r="52" spans="1:2" x14ac:dyDescent="0.3">
      <c r="A52" s="3" t="s">
        <v>5</v>
      </c>
      <c r="B52" s="2">
        <v>431</v>
      </c>
    </row>
    <row r="54" spans="1:2" x14ac:dyDescent="0.3">
      <c r="A54" s="13" t="s">
        <v>43</v>
      </c>
      <c r="B54" s="13"/>
    </row>
    <row r="55" spans="1:2" x14ac:dyDescent="0.3">
      <c r="A55" s="1" t="s">
        <v>4</v>
      </c>
      <c r="B55" t="s">
        <v>42</v>
      </c>
    </row>
    <row r="56" spans="1:2" x14ac:dyDescent="0.3">
      <c r="A56" s="3" t="s">
        <v>20</v>
      </c>
      <c r="B56" s="8">
        <v>283</v>
      </c>
    </row>
    <row r="57" spans="1:2" x14ac:dyDescent="0.3">
      <c r="A57" s="3" t="s">
        <v>18</v>
      </c>
      <c r="B57" s="8">
        <v>148</v>
      </c>
    </row>
    <row r="58" spans="1:2" x14ac:dyDescent="0.3">
      <c r="A58" s="3" t="s">
        <v>5</v>
      </c>
      <c r="B58" s="2">
        <v>431</v>
      </c>
    </row>
    <row r="60" spans="1:2" x14ac:dyDescent="0.3">
      <c r="A60" s="13" t="s">
        <v>44</v>
      </c>
      <c r="B60" s="13"/>
    </row>
    <row r="61" spans="1:2" x14ac:dyDescent="0.3">
      <c r="A61" s="1" t="s">
        <v>4</v>
      </c>
      <c r="B61" t="s">
        <v>45</v>
      </c>
    </row>
    <row r="62" spans="1:2" x14ac:dyDescent="0.3">
      <c r="A62" s="3" t="s">
        <v>27</v>
      </c>
      <c r="B62" s="12">
        <v>194</v>
      </c>
    </row>
    <row r="63" spans="1:2" x14ac:dyDescent="0.3">
      <c r="A63" s="3" t="s">
        <v>15</v>
      </c>
      <c r="B63" s="12">
        <v>237</v>
      </c>
    </row>
    <row r="64" spans="1:2" x14ac:dyDescent="0.3">
      <c r="A64" s="3" t="s">
        <v>5</v>
      </c>
      <c r="B64" s="2">
        <v>431</v>
      </c>
    </row>
    <row r="66" spans="1:2" x14ac:dyDescent="0.3">
      <c r="A66" s="13" t="s">
        <v>47</v>
      </c>
      <c r="B66" s="13"/>
    </row>
    <row r="67" spans="1:2" x14ac:dyDescent="0.3">
      <c r="A67" s="1" t="s">
        <v>4</v>
      </c>
      <c r="B67" t="s">
        <v>46</v>
      </c>
    </row>
    <row r="68" spans="1:2" x14ac:dyDescent="0.3">
      <c r="A68" s="3" t="s">
        <v>32</v>
      </c>
      <c r="B68" s="8">
        <v>6</v>
      </c>
    </row>
    <row r="69" spans="1:2" x14ac:dyDescent="0.3">
      <c r="A69" s="3" t="s">
        <v>33</v>
      </c>
      <c r="B69" s="8">
        <v>6</v>
      </c>
    </row>
    <row r="70" spans="1:2" x14ac:dyDescent="0.3">
      <c r="A70" s="3" t="s">
        <v>34</v>
      </c>
      <c r="B70" s="8">
        <v>6</v>
      </c>
    </row>
    <row r="71" spans="1:2" x14ac:dyDescent="0.3">
      <c r="A71" s="3" t="s">
        <v>31</v>
      </c>
      <c r="B71" s="8">
        <v>12</v>
      </c>
    </row>
    <row r="72" spans="1:2" x14ac:dyDescent="0.3">
      <c r="A72" s="3" t="s">
        <v>30</v>
      </c>
      <c r="B72" s="8">
        <v>14</v>
      </c>
    </row>
    <row r="73" spans="1:2" x14ac:dyDescent="0.3">
      <c r="A73" s="3" t="s">
        <v>29</v>
      </c>
      <c r="B73" s="8">
        <v>46</v>
      </c>
    </row>
    <row r="74" spans="1:2" x14ac:dyDescent="0.3">
      <c r="A74" s="3" t="s">
        <v>28</v>
      </c>
      <c r="B74" s="8">
        <v>89</v>
      </c>
    </row>
    <row r="75" spans="1:2" x14ac:dyDescent="0.3">
      <c r="A75" s="3" t="s">
        <v>16</v>
      </c>
      <c r="B75" s="8">
        <v>252</v>
      </c>
    </row>
    <row r="76" spans="1:2" x14ac:dyDescent="0.3">
      <c r="A76" s="3" t="s">
        <v>5</v>
      </c>
      <c r="B76" s="2">
        <v>431</v>
      </c>
    </row>
    <row r="78" spans="1:2" x14ac:dyDescent="0.3">
      <c r="A78" s="13" t="s">
        <v>48</v>
      </c>
      <c r="B78" s="13"/>
    </row>
    <row r="79" spans="1:2" x14ac:dyDescent="0.3">
      <c r="A79" s="1" t="s">
        <v>4</v>
      </c>
    </row>
    <row r="80" spans="1:2" x14ac:dyDescent="0.3">
      <c r="A80" s="3" t="s">
        <v>49</v>
      </c>
    </row>
    <row r="81" spans="1:1" x14ac:dyDescent="0.3">
      <c r="A81" s="3" t="s">
        <v>5</v>
      </c>
    </row>
  </sheetData>
  <mergeCells count="9">
    <mergeCell ref="I3:J3"/>
    <mergeCell ref="A42:B42"/>
    <mergeCell ref="A54:B54"/>
    <mergeCell ref="A37:B37"/>
    <mergeCell ref="A60:B60"/>
    <mergeCell ref="A66:B66"/>
    <mergeCell ref="A78:B78"/>
    <mergeCell ref="C3:D3"/>
    <mergeCell ref="F3:G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N20"/>
  <sheetViews>
    <sheetView zoomScale="115" zoomScaleNormal="115" workbookViewId="0">
      <selection activeCell="D27" sqref="D27"/>
    </sheetView>
  </sheetViews>
  <sheetFormatPr defaultRowHeight="14.4" x14ac:dyDescent="0.3"/>
  <cols>
    <col min="5" max="5" width="8.88671875" customWidth="1"/>
    <col min="7" max="7" width="8.88671875" customWidth="1"/>
  </cols>
  <sheetData>
    <row r="1" spans="1:14" x14ac:dyDescent="0.3">
      <c r="A1" s="25"/>
      <c r="B1" s="25"/>
      <c r="C1" s="25"/>
      <c r="D1" s="25"/>
      <c r="E1" s="25"/>
      <c r="F1" s="25"/>
      <c r="G1" s="25"/>
      <c r="H1" s="25"/>
      <c r="I1" s="25"/>
      <c r="J1" s="25"/>
      <c r="K1" s="25"/>
      <c r="L1" s="25"/>
      <c r="M1" s="25"/>
      <c r="N1" s="25"/>
    </row>
    <row r="2" spans="1:14" x14ac:dyDescent="0.3">
      <c r="A2" s="25"/>
      <c r="B2" s="25"/>
      <c r="C2" s="25"/>
      <c r="D2" s="25"/>
      <c r="E2" s="25"/>
      <c r="F2" s="25"/>
      <c r="G2" s="25"/>
      <c r="H2" s="25"/>
      <c r="I2" s="25"/>
      <c r="J2" s="25"/>
      <c r="K2" s="25"/>
      <c r="L2" s="25"/>
      <c r="M2" s="25"/>
      <c r="N2" s="25"/>
    </row>
    <row r="3" spans="1:14" x14ac:dyDescent="0.3">
      <c r="A3" s="25"/>
      <c r="B3" s="25"/>
      <c r="C3" s="25"/>
      <c r="D3" s="25"/>
      <c r="E3" s="25"/>
      <c r="F3" s="25"/>
      <c r="G3" s="25"/>
      <c r="H3" s="25"/>
      <c r="I3" s="25"/>
      <c r="J3" s="25"/>
      <c r="K3" s="25"/>
      <c r="L3" s="25"/>
      <c r="M3" s="25"/>
      <c r="N3" s="25"/>
    </row>
    <row r="4" spans="1:14" x14ac:dyDescent="0.3">
      <c r="A4" s="25"/>
      <c r="B4" s="25"/>
      <c r="C4" s="25"/>
      <c r="D4" s="25"/>
      <c r="E4" s="25"/>
      <c r="F4" s="25"/>
      <c r="G4" s="25"/>
      <c r="H4" s="25"/>
      <c r="I4" s="25"/>
      <c r="J4" s="25"/>
      <c r="K4" s="25"/>
      <c r="L4" s="25"/>
      <c r="M4" s="25"/>
      <c r="N4" s="25"/>
    </row>
    <row r="5" spans="1:14" x14ac:dyDescent="0.3">
      <c r="A5" s="25"/>
      <c r="B5" s="25"/>
      <c r="C5" s="25"/>
      <c r="D5" s="25"/>
      <c r="E5" s="25"/>
      <c r="F5" s="25"/>
      <c r="G5" s="25"/>
      <c r="H5" s="25"/>
      <c r="I5" s="25"/>
      <c r="J5" s="25"/>
      <c r="K5" s="25"/>
      <c r="L5" s="25"/>
      <c r="M5" s="25"/>
      <c r="N5" s="25"/>
    </row>
    <row r="6" spans="1:14" x14ac:dyDescent="0.3">
      <c r="A6" s="25"/>
      <c r="B6" s="25"/>
      <c r="C6" s="25"/>
      <c r="D6" s="25"/>
      <c r="E6" s="25"/>
      <c r="F6" s="25"/>
      <c r="G6" s="25"/>
      <c r="H6" s="25"/>
      <c r="I6" s="25"/>
      <c r="J6" s="25"/>
      <c r="K6" s="25"/>
      <c r="L6" s="25"/>
      <c r="M6" s="25"/>
      <c r="N6" s="25"/>
    </row>
    <row r="7" spans="1:14" x14ac:dyDescent="0.3">
      <c r="A7" s="25"/>
      <c r="B7" s="25"/>
      <c r="C7" s="25"/>
      <c r="D7" s="25"/>
      <c r="E7" s="25"/>
      <c r="F7" s="25"/>
      <c r="G7" s="25"/>
      <c r="H7" s="25"/>
      <c r="I7" s="25"/>
      <c r="J7" s="25"/>
      <c r="K7" s="25"/>
      <c r="L7" s="25"/>
      <c r="M7" s="25"/>
      <c r="N7" s="25"/>
    </row>
    <row r="8" spans="1:14" x14ac:dyDescent="0.3">
      <c r="A8" s="25"/>
      <c r="B8" s="25"/>
      <c r="C8" s="25"/>
      <c r="D8" s="25"/>
      <c r="E8" s="25"/>
      <c r="F8" s="25"/>
      <c r="G8" s="25"/>
      <c r="H8" s="25"/>
      <c r="I8" s="25"/>
      <c r="J8" s="25"/>
      <c r="K8" s="25"/>
      <c r="L8" s="25"/>
      <c r="M8" s="25"/>
      <c r="N8" s="25"/>
    </row>
    <row r="9" spans="1:14" x14ac:dyDescent="0.3">
      <c r="A9" s="25"/>
      <c r="B9" s="25"/>
      <c r="C9" s="25"/>
      <c r="D9" s="25"/>
      <c r="E9" s="25"/>
      <c r="F9" s="25"/>
      <c r="G9" s="25"/>
      <c r="H9" s="25"/>
      <c r="I9" s="25"/>
      <c r="J9" s="25"/>
      <c r="K9" s="25"/>
      <c r="L9" s="25"/>
      <c r="M9" s="25"/>
      <c r="N9" s="25"/>
    </row>
    <row r="10" spans="1:14" x14ac:dyDescent="0.3">
      <c r="A10" s="25"/>
      <c r="B10" s="25"/>
      <c r="C10" s="25"/>
      <c r="D10" s="25"/>
      <c r="E10" s="25"/>
      <c r="F10" s="25"/>
      <c r="G10" s="25"/>
      <c r="H10" s="25"/>
      <c r="I10" s="25"/>
      <c r="J10" s="25"/>
      <c r="K10" s="25"/>
      <c r="L10" s="25"/>
      <c r="M10" s="25"/>
      <c r="N10" s="25"/>
    </row>
    <row r="11" spans="1:14" x14ac:dyDescent="0.3">
      <c r="A11" s="25"/>
      <c r="B11" s="25"/>
      <c r="C11" s="25"/>
      <c r="D11" s="25"/>
      <c r="E11" s="25"/>
      <c r="F11" s="25"/>
      <c r="G11" s="25"/>
      <c r="H11" s="25"/>
      <c r="I11" s="25"/>
      <c r="J11" s="25"/>
      <c r="K11" s="25"/>
      <c r="L11" s="25"/>
      <c r="M11" s="25"/>
      <c r="N11" s="25"/>
    </row>
    <row r="12" spans="1:14" x14ac:dyDescent="0.3">
      <c r="A12" s="25"/>
      <c r="B12" s="25"/>
      <c r="C12" s="25"/>
      <c r="D12" s="25"/>
      <c r="E12" s="25"/>
      <c r="F12" s="25"/>
      <c r="G12" s="25"/>
      <c r="H12" s="25"/>
      <c r="I12" s="25"/>
      <c r="J12" s="25"/>
      <c r="K12" s="25"/>
      <c r="L12" s="25"/>
      <c r="M12" s="25"/>
      <c r="N12" s="25"/>
    </row>
    <row r="13" spans="1:14" x14ac:dyDescent="0.3">
      <c r="A13" s="25"/>
      <c r="B13" s="25"/>
      <c r="C13" s="25"/>
      <c r="D13" s="25"/>
      <c r="E13" s="25"/>
      <c r="F13" s="25"/>
      <c r="G13" s="25"/>
      <c r="H13" s="25"/>
      <c r="I13" s="25"/>
      <c r="J13" s="25"/>
      <c r="K13" s="25"/>
      <c r="L13" s="25"/>
      <c r="M13" s="25"/>
      <c r="N13" s="25"/>
    </row>
    <row r="14" spans="1:14" x14ac:dyDescent="0.3">
      <c r="A14" s="25"/>
      <c r="B14" s="25"/>
      <c r="C14" s="25"/>
      <c r="D14" s="25"/>
      <c r="E14" s="25"/>
      <c r="F14" s="25"/>
      <c r="G14" s="25"/>
      <c r="H14" s="25"/>
      <c r="I14" s="25"/>
      <c r="J14" s="25"/>
      <c r="K14" s="25"/>
      <c r="L14" s="25"/>
      <c r="M14" s="25"/>
      <c r="N14" s="25"/>
    </row>
    <row r="15" spans="1:14" x14ac:dyDescent="0.3">
      <c r="A15" s="25"/>
      <c r="B15" s="25"/>
      <c r="C15" s="25"/>
      <c r="D15" s="25"/>
      <c r="E15" s="25"/>
      <c r="F15" s="25"/>
      <c r="G15" s="25"/>
      <c r="H15" s="25"/>
      <c r="I15" s="25"/>
      <c r="J15" s="25"/>
      <c r="K15" s="25"/>
      <c r="L15" s="25"/>
      <c r="M15" s="25"/>
      <c r="N15" s="25"/>
    </row>
    <row r="16" spans="1:14" x14ac:dyDescent="0.3">
      <c r="A16" s="25"/>
      <c r="B16" s="25"/>
      <c r="C16" s="25"/>
      <c r="D16" s="25"/>
      <c r="E16" s="25"/>
      <c r="F16" s="25"/>
      <c r="G16" s="25"/>
      <c r="H16" s="25"/>
      <c r="I16" s="25"/>
      <c r="J16" s="25"/>
      <c r="K16" s="25"/>
      <c r="L16" s="25"/>
      <c r="M16" s="25"/>
      <c r="N16" s="25"/>
    </row>
    <row r="17" spans="1:14" x14ac:dyDescent="0.3">
      <c r="A17" s="25"/>
      <c r="B17" s="25"/>
      <c r="C17" s="25"/>
      <c r="D17" s="25"/>
      <c r="E17" s="25"/>
      <c r="F17" s="25"/>
      <c r="G17" s="25"/>
      <c r="H17" s="25"/>
      <c r="I17" s="25"/>
      <c r="J17" s="25"/>
      <c r="K17" s="25"/>
      <c r="L17" s="25"/>
      <c r="M17" s="25"/>
      <c r="N17" s="25"/>
    </row>
    <row r="18" spans="1:14" x14ac:dyDescent="0.3">
      <c r="A18" s="25"/>
      <c r="B18" s="25"/>
      <c r="C18" s="25"/>
      <c r="D18" s="25"/>
      <c r="E18" s="25"/>
      <c r="F18" s="25"/>
      <c r="G18" s="25"/>
      <c r="H18" s="25"/>
      <c r="I18" s="25"/>
      <c r="J18" s="25"/>
      <c r="K18" s="25"/>
      <c r="L18" s="25"/>
      <c r="M18" s="25"/>
      <c r="N18" s="25"/>
    </row>
    <row r="19" spans="1:14" x14ac:dyDescent="0.3">
      <c r="A19" s="25"/>
      <c r="B19" s="25"/>
      <c r="C19" s="25"/>
      <c r="D19" s="25"/>
      <c r="E19" s="25"/>
      <c r="F19" s="25"/>
      <c r="G19" s="25"/>
      <c r="H19" s="25"/>
      <c r="I19" s="25"/>
      <c r="J19" s="25"/>
      <c r="K19" s="25"/>
      <c r="L19" s="25"/>
      <c r="M19" s="25"/>
      <c r="N19" s="25"/>
    </row>
    <row r="20" spans="1:14" x14ac:dyDescent="0.3">
      <c r="A20" s="25"/>
      <c r="B20" s="25"/>
      <c r="C20" s="25"/>
      <c r="D20" s="25"/>
      <c r="E20" s="25"/>
      <c r="F20" s="25"/>
      <c r="G20" s="25"/>
      <c r="H20" s="25"/>
      <c r="I20" s="25"/>
      <c r="J20" s="25"/>
      <c r="K20" s="25"/>
      <c r="L20" s="25"/>
      <c r="M20" s="25"/>
      <c r="N20" s="2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6"/>
  <sheetViews>
    <sheetView tabSelected="1" zoomScale="145" zoomScaleNormal="145" workbookViewId="0"/>
  </sheetViews>
  <sheetFormatPr defaultRowHeight="14.4" x14ac:dyDescent="0.3"/>
  <cols>
    <col min="1" max="16384" width="8.88671875" style="5"/>
  </cols>
  <sheetData>
    <row r="1" spans="1:15" x14ac:dyDescent="0.3">
      <c r="A1" s="7"/>
      <c r="B1" s="7"/>
      <c r="C1" s="7"/>
      <c r="D1" s="7"/>
      <c r="E1" s="7"/>
      <c r="F1" s="7"/>
      <c r="G1" s="7"/>
      <c r="H1" s="7"/>
      <c r="I1" s="7"/>
      <c r="J1" s="7"/>
      <c r="K1" s="7"/>
      <c r="L1" s="7"/>
      <c r="M1" s="7"/>
      <c r="N1" s="7"/>
      <c r="O1" s="7"/>
    </row>
    <row r="2" spans="1:15" x14ac:dyDescent="0.3">
      <c r="A2" s="4"/>
      <c r="B2" s="4"/>
      <c r="C2" s="4"/>
      <c r="D2" s="4"/>
      <c r="E2" s="4"/>
      <c r="F2" s="4"/>
      <c r="G2" s="4"/>
      <c r="H2" s="4"/>
      <c r="I2" s="4"/>
      <c r="J2" s="4"/>
      <c r="K2" s="4"/>
      <c r="L2" s="4"/>
      <c r="M2" s="4"/>
      <c r="N2" s="4"/>
    </row>
    <row r="3" spans="1:15" x14ac:dyDescent="0.3">
      <c r="A3" s="4"/>
      <c r="B3" s="4"/>
      <c r="C3" s="4"/>
      <c r="D3" s="4"/>
      <c r="E3" s="4"/>
      <c r="F3" s="4"/>
      <c r="G3" s="4"/>
      <c r="H3" s="4"/>
      <c r="I3" s="4"/>
      <c r="J3" s="4"/>
      <c r="K3" s="4"/>
      <c r="L3" s="4"/>
      <c r="M3" s="4"/>
      <c r="N3" s="4"/>
    </row>
    <row r="4" spans="1:15" x14ac:dyDescent="0.3">
      <c r="A4" s="4"/>
      <c r="B4" s="4"/>
      <c r="C4" s="4"/>
      <c r="D4" s="4"/>
      <c r="E4" s="4"/>
      <c r="F4" s="4"/>
      <c r="G4" s="4"/>
      <c r="H4" s="4"/>
      <c r="I4" s="4"/>
      <c r="J4" s="4"/>
      <c r="K4" s="4"/>
      <c r="L4" s="4"/>
      <c r="M4" s="4"/>
      <c r="N4" s="4"/>
    </row>
    <row r="5" spans="1:15" x14ac:dyDescent="0.3">
      <c r="A5" s="4"/>
      <c r="B5" s="4"/>
      <c r="C5" s="4"/>
      <c r="D5" s="4"/>
      <c r="E5" s="4"/>
      <c r="F5" s="4"/>
      <c r="G5" s="4"/>
      <c r="H5" s="4"/>
      <c r="I5" s="4"/>
      <c r="J5" s="4"/>
      <c r="K5" s="4"/>
      <c r="L5" s="4"/>
      <c r="M5" s="4"/>
      <c r="N5" s="4"/>
    </row>
    <row r="6" spans="1:15" x14ac:dyDescent="0.3">
      <c r="A6" s="4"/>
      <c r="B6" s="4"/>
      <c r="C6" s="4"/>
      <c r="D6" s="4"/>
      <c r="E6" s="4"/>
      <c r="F6" s="4"/>
      <c r="G6" s="4"/>
      <c r="H6" s="4"/>
      <c r="I6" s="4"/>
      <c r="J6" s="4"/>
      <c r="K6" s="4"/>
      <c r="L6" s="4"/>
      <c r="M6" s="4"/>
      <c r="N6" s="4"/>
    </row>
    <row r="7" spans="1:15" x14ac:dyDescent="0.3">
      <c r="A7" s="4"/>
      <c r="B7" s="4"/>
      <c r="C7" s="4"/>
      <c r="D7" s="4"/>
      <c r="E7" s="4"/>
      <c r="F7" s="4"/>
      <c r="G7" s="4"/>
      <c r="H7" s="4"/>
      <c r="I7" s="4"/>
      <c r="J7" s="4"/>
      <c r="K7" s="4"/>
      <c r="L7" s="4"/>
      <c r="M7" s="4"/>
      <c r="N7" s="4"/>
    </row>
    <row r="8" spans="1:15" x14ac:dyDescent="0.3">
      <c r="A8" s="4"/>
      <c r="B8" s="4"/>
      <c r="C8" s="4"/>
      <c r="D8" s="4"/>
      <c r="E8" s="4"/>
      <c r="F8" s="4"/>
      <c r="G8" s="4"/>
      <c r="H8" s="4"/>
      <c r="I8" s="4"/>
      <c r="J8" s="4"/>
      <c r="K8" s="4"/>
      <c r="L8" s="4"/>
      <c r="M8" s="4"/>
      <c r="N8" s="4"/>
    </row>
    <row r="9" spans="1:15" x14ac:dyDescent="0.3">
      <c r="A9" s="4"/>
      <c r="B9" s="4"/>
      <c r="C9" s="4"/>
      <c r="D9" s="4"/>
      <c r="E9" s="4"/>
      <c r="F9" s="4"/>
      <c r="G9" s="4"/>
      <c r="H9" s="4"/>
      <c r="I9" s="4"/>
      <c r="J9" s="4"/>
      <c r="K9" s="4"/>
      <c r="L9" s="4"/>
      <c r="M9" s="4"/>
      <c r="N9" s="4"/>
    </row>
    <row r="10" spans="1:15" x14ac:dyDescent="0.3">
      <c r="A10" s="4"/>
      <c r="B10" s="4"/>
      <c r="C10" s="4"/>
      <c r="D10" s="4"/>
      <c r="E10" s="4"/>
      <c r="F10" s="4"/>
      <c r="G10" s="4"/>
      <c r="H10" s="4"/>
      <c r="I10" s="4"/>
      <c r="J10" s="4"/>
      <c r="K10" s="4"/>
      <c r="L10" s="4"/>
      <c r="M10" s="4"/>
      <c r="N10" s="4"/>
    </row>
    <row r="11" spans="1:15" x14ac:dyDescent="0.3">
      <c r="A11" s="4"/>
      <c r="B11" s="4"/>
      <c r="C11" s="4"/>
      <c r="D11" s="4"/>
      <c r="E11" s="4"/>
      <c r="F11" s="4"/>
      <c r="G11" s="4"/>
      <c r="H11" s="4"/>
      <c r="I11" s="4"/>
      <c r="J11" s="4"/>
      <c r="K11" s="4"/>
      <c r="L11" s="4"/>
      <c r="M11" s="4"/>
      <c r="N11" s="4"/>
    </row>
    <row r="12" spans="1:15" x14ac:dyDescent="0.3">
      <c r="A12" s="4"/>
      <c r="B12" s="4"/>
      <c r="C12" s="4"/>
      <c r="D12" s="4"/>
      <c r="E12" s="4"/>
      <c r="F12" s="4"/>
      <c r="G12" s="4"/>
      <c r="H12" s="4"/>
      <c r="I12" s="4"/>
      <c r="J12" s="4"/>
      <c r="K12" s="4"/>
      <c r="L12" s="4"/>
      <c r="M12" s="4"/>
      <c r="N12" s="4"/>
    </row>
    <row r="13" spans="1:15" x14ac:dyDescent="0.3">
      <c r="A13" s="4"/>
      <c r="B13" s="4"/>
      <c r="C13" s="4"/>
      <c r="D13" s="4"/>
      <c r="E13" s="4"/>
      <c r="F13" s="4"/>
      <c r="G13" s="4"/>
      <c r="H13" s="4"/>
      <c r="I13" s="4"/>
      <c r="J13" s="4"/>
      <c r="K13" s="4"/>
      <c r="L13" s="4"/>
      <c r="M13" s="4"/>
      <c r="N13" s="4"/>
    </row>
    <row r="14" spans="1:15" x14ac:dyDescent="0.3">
      <c r="A14" s="4"/>
      <c r="B14" s="4"/>
      <c r="C14" s="4"/>
      <c r="D14" s="4"/>
      <c r="E14" s="4"/>
      <c r="F14" s="4"/>
      <c r="G14" s="4"/>
      <c r="H14" s="4"/>
      <c r="I14" s="4"/>
      <c r="J14" s="4"/>
      <c r="K14" s="4"/>
      <c r="L14" s="4"/>
      <c r="M14" s="4"/>
      <c r="N14" s="4"/>
    </row>
    <row r="15" spans="1:15" x14ac:dyDescent="0.3">
      <c r="A15" s="15" t="s">
        <v>9</v>
      </c>
      <c r="B15" s="16"/>
      <c r="C15" s="16"/>
      <c r="D15" s="16"/>
      <c r="E15" s="16"/>
      <c r="F15" s="16"/>
      <c r="G15" s="16"/>
      <c r="H15" s="16"/>
      <c r="I15" s="16"/>
      <c r="J15" s="16"/>
      <c r="K15" s="16"/>
      <c r="L15" s="16"/>
      <c r="M15" s="16"/>
      <c r="N15" s="16"/>
      <c r="O15" s="16"/>
    </row>
    <row r="16" spans="1:15" x14ac:dyDescent="0.3">
      <c r="A16" s="6"/>
      <c r="B16" s="6"/>
      <c r="C16" s="6"/>
      <c r="D16" s="6"/>
      <c r="E16" s="6"/>
      <c r="F16" s="6"/>
      <c r="G16" s="6"/>
      <c r="H16" s="6"/>
      <c r="I16" s="6"/>
      <c r="J16" s="6"/>
      <c r="K16" s="6"/>
      <c r="L16" s="6"/>
      <c r="M16" s="6"/>
      <c r="N16" s="6"/>
      <c r="O16" s="6"/>
    </row>
  </sheetData>
  <mergeCells count="1">
    <mergeCell ref="A15:O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268B-254B-4696-BAC6-AF9F690D1F06}">
  <dimension ref="A1:O15"/>
  <sheetViews>
    <sheetView zoomScale="150" zoomScaleNormal="150" workbookViewId="0"/>
  </sheetViews>
  <sheetFormatPr defaultRowHeight="14.4" x14ac:dyDescent="0.3"/>
  <cols>
    <col min="1" max="14" width="8.88671875" style="5"/>
    <col min="15" max="15" width="8.6640625" style="5" customWidth="1"/>
    <col min="16" max="16384" width="8.88671875" style="5"/>
  </cols>
  <sheetData>
    <row r="1" spans="1:15" x14ac:dyDescent="0.3">
      <c r="A1" s="7"/>
      <c r="B1" s="7"/>
      <c r="C1" s="7"/>
      <c r="D1" s="7"/>
      <c r="E1" s="7"/>
      <c r="F1" s="7"/>
      <c r="G1" s="7"/>
      <c r="H1" s="7"/>
      <c r="I1" s="7"/>
      <c r="J1" s="7"/>
      <c r="K1" s="7"/>
      <c r="L1" s="7"/>
      <c r="M1" s="7"/>
      <c r="N1" s="7"/>
      <c r="O1" s="7"/>
    </row>
    <row r="15" spans="1:15" x14ac:dyDescent="0.3">
      <c r="A15" s="17" t="s">
        <v>8</v>
      </c>
      <c r="B15" s="18"/>
      <c r="C15" s="18"/>
      <c r="D15" s="18"/>
      <c r="E15" s="18"/>
      <c r="F15" s="18"/>
      <c r="G15" s="18"/>
      <c r="H15" s="18"/>
      <c r="I15" s="18"/>
      <c r="J15" s="18"/>
      <c r="K15" s="18"/>
      <c r="L15" s="18"/>
      <c r="M15" s="18"/>
      <c r="N15" s="18"/>
      <c r="O15" s="18"/>
    </row>
  </sheetData>
  <mergeCells count="1">
    <mergeCell ref="A15:O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D604-F047-48C2-95EA-04E5E3A7D174}">
  <dimension ref="A1:O15"/>
  <sheetViews>
    <sheetView zoomScale="150" zoomScaleNormal="150" workbookViewId="0"/>
  </sheetViews>
  <sheetFormatPr defaultRowHeight="14.4" x14ac:dyDescent="0.3"/>
  <cols>
    <col min="1" max="14" width="8.88671875" style="5"/>
    <col min="15" max="15" width="8.6640625" style="5" customWidth="1"/>
    <col min="16" max="16384" width="8.88671875" style="5"/>
  </cols>
  <sheetData>
    <row r="1" spans="1:15" x14ac:dyDescent="0.3">
      <c r="A1" s="7"/>
      <c r="B1" s="7"/>
      <c r="C1" s="7"/>
      <c r="D1" s="7"/>
      <c r="E1" s="7"/>
      <c r="F1" s="7"/>
      <c r="G1" s="7"/>
      <c r="H1" s="7"/>
      <c r="I1" s="7"/>
      <c r="J1" s="7"/>
      <c r="K1" s="7"/>
      <c r="L1" s="7"/>
      <c r="M1" s="7"/>
      <c r="N1" s="7"/>
      <c r="O1" s="7"/>
    </row>
    <row r="15" spans="1:15" x14ac:dyDescent="0.3">
      <c r="A15" s="19" t="s">
        <v>10</v>
      </c>
      <c r="B15" s="19"/>
      <c r="C15" s="19"/>
      <c r="D15" s="19"/>
      <c r="E15" s="19"/>
      <c r="F15" s="19"/>
      <c r="G15" s="19"/>
      <c r="H15" s="19"/>
      <c r="I15" s="19"/>
      <c r="J15" s="19"/>
      <c r="K15" s="19"/>
      <c r="L15" s="19"/>
      <c r="M15" s="19"/>
      <c r="N15" s="19"/>
      <c r="O15" s="19"/>
    </row>
  </sheetData>
  <mergeCells count="1">
    <mergeCell ref="A15:O1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B8BDEDE-4214-43A8-A91B-EFF7D8108D07}">
  <ds:schemaRefs/>
</ds:datastoreItem>
</file>

<file path=customXml/itemProps2.xml><?xml version="1.0" encoding="utf-8"?>
<ds:datastoreItem xmlns:ds="http://schemas.openxmlformats.org/officeDocument/2006/customXml" ds:itemID="{D5ABD098-8F26-4449-BCD0-4C1CFFA069A0}">
  <ds:schemaRefs/>
</ds:datastoreItem>
</file>

<file path=customXml/itemProps3.xml><?xml version="1.0" encoding="utf-8"?>
<ds:datastoreItem xmlns:ds="http://schemas.openxmlformats.org/officeDocument/2006/customXml" ds:itemID="{0185C27E-386B-4DDF-B4D2-A72EFD8613C7}">
  <ds:schemaRefs/>
</ds:datastoreItem>
</file>

<file path=customXml/itemProps4.xml><?xml version="1.0" encoding="utf-8"?>
<ds:datastoreItem xmlns:ds="http://schemas.openxmlformats.org/officeDocument/2006/customXml" ds:itemID="{02A9511E-6196-4BCC-A8D7-2F733EAA3A20}">
  <ds:schemaRefs/>
</ds:datastoreItem>
</file>

<file path=customXml/itemProps5.xml><?xml version="1.0" encoding="utf-8"?>
<ds:datastoreItem xmlns:ds="http://schemas.openxmlformats.org/officeDocument/2006/customXml" ds:itemID="{80A69D05-6864-4142-A108-1BA96DFA4DE4}">
  <ds:schemaRefs/>
</ds:datastoreItem>
</file>

<file path=customXml/itemProps6.xml><?xml version="1.0" encoding="utf-8"?>
<ds:datastoreItem xmlns:ds="http://schemas.openxmlformats.org/officeDocument/2006/customXml" ds:itemID="{82D36E0F-60EF-4BFF-B298-E5E8FAD29764}">
  <ds:schemaRefs/>
</ds:datastoreItem>
</file>

<file path=customXml/itemProps7.xml><?xml version="1.0" encoding="utf-8"?>
<ds:datastoreItem xmlns:ds="http://schemas.openxmlformats.org/officeDocument/2006/customXml" ds:itemID="{EDD46A23-0D4C-42B9-B70B-3B028EF7A29D}">
  <ds:schemaRefs>
    <ds:schemaRef ds:uri="http://schemas.microsoft.com/DataMashup"/>
  </ds:schemaRefs>
</ds:datastoreItem>
</file>

<file path=customXml/itemProps8.xml><?xml version="1.0" encoding="utf-8"?>
<ds:datastoreItem xmlns:ds="http://schemas.openxmlformats.org/officeDocument/2006/customXml" ds:itemID="{475FF370-F0BF-47FA-A54F-78A3006A96FA}">
  <ds:schemaRefs/>
</ds:datastoreItem>
</file>

<file path=customXml/itemProps9.xml><?xml version="1.0" encoding="utf-8"?>
<ds:datastoreItem xmlns:ds="http://schemas.openxmlformats.org/officeDocument/2006/customXml" ds:itemID="{C02E2CBA-E654-45B6-87C4-3FA895D372BA}">
  <ds:schemaRefs/>
</ds:datastoreItem>
</file>

<file path=customXml/itemProps10.xml><?xml version="1.0" encoding="utf-8"?>
<ds:datastoreItem xmlns:ds="http://schemas.openxmlformats.org/officeDocument/2006/customXml" ds:itemID="{61FCE7D1-8102-4BC7-8008-2E979091CA9B}">
  <ds:schemaRefs/>
</ds:datastoreItem>
</file>

<file path=customXml/itemProps11.xml><?xml version="1.0" encoding="utf-8"?>
<ds:datastoreItem xmlns:ds="http://schemas.openxmlformats.org/officeDocument/2006/customXml" ds:itemID="{DD0BC13B-3645-4967-95E2-FF0132D9444B}">
  <ds:schemaRefs/>
</ds:datastoreItem>
</file>

<file path=customXml/itemProps12.xml><?xml version="1.0" encoding="utf-8"?>
<ds:datastoreItem xmlns:ds="http://schemas.openxmlformats.org/officeDocument/2006/customXml" ds:itemID="{67018DD3-DA8F-45EB-AA46-357032C4B970}">
  <ds:schemaRefs/>
</ds:datastoreItem>
</file>

<file path=customXml/itemProps13.xml><?xml version="1.0" encoding="utf-8"?>
<ds:datastoreItem xmlns:ds="http://schemas.openxmlformats.org/officeDocument/2006/customXml" ds:itemID="{9F86B6C1-57C9-4198-AF50-4727E5CF22EC}">
  <ds:schemaRefs/>
</ds:datastoreItem>
</file>

<file path=customXml/itemProps14.xml><?xml version="1.0" encoding="utf-8"?>
<ds:datastoreItem xmlns:ds="http://schemas.openxmlformats.org/officeDocument/2006/customXml" ds:itemID="{BAE379F0-60C9-4BD7-8CA3-E9CB8EE0B7B3}">
  <ds:schemaRefs/>
</ds:datastoreItem>
</file>

<file path=customXml/itemProps15.xml><?xml version="1.0" encoding="utf-8"?>
<ds:datastoreItem xmlns:ds="http://schemas.openxmlformats.org/officeDocument/2006/customXml" ds:itemID="{8F6E7591-6813-4DD6-8F69-4CFEAAAE715E}">
  <ds:schemaRefs/>
</ds:datastoreItem>
</file>

<file path=customXml/itemProps16.xml><?xml version="1.0" encoding="utf-8"?>
<ds:datastoreItem xmlns:ds="http://schemas.openxmlformats.org/officeDocument/2006/customXml" ds:itemID="{4FE8AF06-F5C1-4AFF-9B69-DA8C500585E8}">
  <ds:schemaRefs/>
</ds:datastoreItem>
</file>

<file path=customXml/itemProps17.xml><?xml version="1.0" encoding="utf-8"?>
<ds:datastoreItem xmlns:ds="http://schemas.openxmlformats.org/officeDocument/2006/customXml" ds:itemID="{116593C4-B610-4EE8-AD5A-F6F7F6A81FB2}">
  <ds:schemaRefs/>
</ds:datastoreItem>
</file>

<file path=customXml/itemProps18.xml><?xml version="1.0" encoding="utf-8"?>
<ds:datastoreItem xmlns:ds="http://schemas.openxmlformats.org/officeDocument/2006/customXml" ds:itemID="{46456E61-B037-4F6F-A77E-EFC146F689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Ansari</dc:creator>
  <cp:lastModifiedBy>Hamza Ansari</cp:lastModifiedBy>
  <dcterms:created xsi:type="dcterms:W3CDTF">2025-01-22T07:08:48Z</dcterms:created>
  <dcterms:modified xsi:type="dcterms:W3CDTF">2025-02-25T16:00:21Z</dcterms:modified>
</cp:coreProperties>
</file>